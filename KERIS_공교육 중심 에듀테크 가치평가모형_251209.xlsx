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_ws\에듀테크 가치평가 웹개발\"/>
    </mc:Choice>
  </mc:AlternateContent>
  <xr:revisionPtr revIDLastSave="0" documentId="13_ncr:1_{34E67A78-D2B0-4FCA-92CB-BFEF29CAB070}" xr6:coauthVersionLast="47" xr6:coauthVersionMax="47" xr10:uidLastSave="{00000000-0000-0000-0000-000000000000}"/>
  <bookViews>
    <workbookView xWindow="-110" yWindow="-110" windowWidth="19420" windowHeight="10420" xr2:uid="{551079ED-F9C5-4BB9-A45D-45A81F5F8E82}"/>
  </bookViews>
  <sheets>
    <sheet name="평가표(양식)_Final" sheetId="2" r:id="rId1"/>
  </sheets>
  <definedNames>
    <definedName name="_xlnm._FilterDatabase" localSheetId="0" hidden="1">'평가표(양식)_Final'!$B$7:$X$332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9" i="2" l="1" a="1"/>
  <c r="U169" i="2" s="1"/>
  <c r="V169" i="2" s="1" a="1"/>
  <c r="V169" i="2" s="1"/>
  <c r="U166" i="2" a="1"/>
  <c r="U166" i="2" s="1"/>
  <c r="V166" i="2" s="1" a="1"/>
  <c r="V166" i="2" s="1"/>
  <c r="U160" i="2" a="1"/>
  <c r="U160" i="2" s="1"/>
  <c r="V160" i="2" s="1" a="1"/>
  <c r="V160" i="2" s="1"/>
  <c r="U340" i="2" l="1" a="1"/>
  <c r="U340" i="2" s="1"/>
  <c r="V340" i="2" s="1" a="1"/>
  <c r="V340" i="2" s="1"/>
  <c r="U332" i="2" a="1"/>
  <c r="U332" i="2" s="1"/>
  <c r="V332" i="2" s="1" a="1"/>
  <c r="V332" i="2" s="1"/>
  <c r="U329" i="2" a="1"/>
  <c r="U329" i="2" s="1"/>
  <c r="V329" i="2" s="1" a="1"/>
  <c r="V329" i="2" s="1"/>
  <c r="U326" i="2" a="1"/>
  <c r="U326" i="2" s="1"/>
  <c r="V326" i="2" s="1" a="1"/>
  <c r="V326" i="2" s="1"/>
  <c r="U323" i="2" a="1"/>
  <c r="U323" i="2" s="1"/>
  <c r="U318" i="2" a="1"/>
  <c r="U318" i="2" s="1"/>
  <c r="U313" i="2" a="1"/>
  <c r="U313" i="2" s="1"/>
  <c r="U309" i="2" a="1"/>
  <c r="U309" i="2" s="1"/>
  <c r="U305" i="2" a="1"/>
  <c r="U305" i="2" s="1"/>
  <c r="U301" i="2" a="1"/>
  <c r="U301" i="2" s="1"/>
  <c r="U297" i="2" a="1"/>
  <c r="U297" i="2" s="1"/>
  <c r="U293" i="2" a="1"/>
  <c r="U293" i="2" s="1"/>
  <c r="V293" i="2" s="1" a="1"/>
  <c r="V293" i="2" s="1"/>
  <c r="U289" i="2" a="1"/>
  <c r="U289" i="2" s="1"/>
  <c r="U285" i="2" a="1"/>
  <c r="U285" i="2" s="1"/>
  <c r="U281" i="2" a="1"/>
  <c r="U281" i="2" s="1"/>
  <c r="V281" i="2" s="1" a="1"/>
  <c r="V281" i="2" s="1"/>
  <c r="U276" i="2" a="1"/>
  <c r="U276" i="2" s="1"/>
  <c r="V276" i="2" s="1" a="1"/>
  <c r="V276" i="2" s="1"/>
  <c r="U271" i="2" a="1"/>
  <c r="U271" i="2" s="1"/>
  <c r="V271" i="2" s="1" a="1"/>
  <c r="V271" i="2" s="1"/>
  <c r="U266" i="2" a="1"/>
  <c r="U266" i="2" s="1"/>
  <c r="V266" i="2" s="1" a="1"/>
  <c r="V266" i="2" s="1"/>
  <c r="U261" i="2" a="1"/>
  <c r="U261" i="2" s="1"/>
  <c r="V261" i="2" s="1" a="1"/>
  <c r="V261" i="2" s="1"/>
  <c r="U256" i="2" a="1"/>
  <c r="U256" i="2" s="1"/>
  <c r="V256" i="2" s="1" a="1"/>
  <c r="V256" i="2" s="1"/>
  <c r="U251" i="2" a="1"/>
  <c r="U251" i="2" s="1"/>
  <c r="U246" i="2" a="1"/>
  <c r="U246" i="2" s="1"/>
  <c r="V246" i="2" s="1" a="1"/>
  <c r="V246" i="2" s="1"/>
  <c r="U242" i="2" a="1"/>
  <c r="U242" i="2" s="1"/>
  <c r="V242" i="2" s="1" a="1"/>
  <c r="V242" i="2" s="1"/>
  <c r="U238" i="2" a="1"/>
  <c r="U238" i="2" s="1"/>
  <c r="V238" i="2" s="1" a="1"/>
  <c r="V238" i="2" s="1"/>
  <c r="U232" i="2" a="1"/>
  <c r="U232" i="2" s="1"/>
  <c r="V232" i="2" s="1" a="1"/>
  <c r="V232" i="2" s="1"/>
  <c r="U226" i="2" a="1"/>
  <c r="U226" i="2" s="1"/>
  <c r="V226" i="2" s="1" a="1"/>
  <c r="V226" i="2" s="1"/>
  <c r="U217" i="2" a="1"/>
  <c r="U217" i="2" s="1"/>
  <c r="V217" i="2" s="1" a="1"/>
  <c r="V217" i="2" s="1"/>
  <c r="U212" i="2" a="1"/>
  <c r="U212" i="2" s="1"/>
  <c r="V212" i="2" s="1" a="1"/>
  <c r="V212" i="2" s="1"/>
  <c r="U207" i="2" a="1"/>
  <c r="U207" i="2" s="1"/>
  <c r="V207" i="2" s="1" a="1"/>
  <c r="V207" i="2" s="1"/>
  <c r="U202" i="2" a="1"/>
  <c r="U202" i="2" s="1"/>
  <c r="V202" i="2" s="1" a="1"/>
  <c r="V202" i="2" s="1"/>
  <c r="U197" i="2" a="1"/>
  <c r="U197" i="2" s="1"/>
  <c r="V197" i="2" s="1" a="1"/>
  <c r="V197" i="2" s="1"/>
  <c r="U192" i="2" a="1"/>
  <c r="U192" i="2" s="1"/>
  <c r="V192" i="2" s="1" a="1"/>
  <c r="V192" i="2" s="1"/>
  <c r="U188" i="2" a="1"/>
  <c r="U188" i="2" s="1"/>
  <c r="U183" i="2" a="1"/>
  <c r="U183" i="2" s="1"/>
  <c r="U180" i="2" a="1"/>
  <c r="U180" i="2" s="1"/>
  <c r="U176" i="2" a="1"/>
  <c r="U176" i="2" s="1"/>
  <c r="U154" i="2" a="1"/>
  <c r="U154" i="2" s="1"/>
  <c r="V154" i="2" s="1" a="1"/>
  <c r="V154" i="2" s="1"/>
  <c r="U144" i="2" a="1"/>
  <c r="U144" i="2" s="1"/>
  <c r="U140" i="2" a="1"/>
  <c r="U140" i="2" s="1"/>
  <c r="U135" i="2" a="1"/>
  <c r="U135" i="2" s="1"/>
  <c r="U129" i="2" a="1"/>
  <c r="U129" i="2" s="1"/>
  <c r="V129" i="2" s="1" a="1"/>
  <c r="V129" i="2" s="1"/>
  <c r="U123" i="2" a="1"/>
  <c r="U123" i="2" s="1"/>
  <c r="V123" i="2" s="1" a="1"/>
  <c r="V123" i="2" s="1"/>
  <c r="U117" i="2" a="1"/>
  <c r="U117" i="2" s="1"/>
  <c r="V117" i="2" s="1" a="1"/>
  <c r="V117" i="2" s="1"/>
  <c r="U109" i="2" a="1"/>
  <c r="U109" i="2" s="1"/>
  <c r="V109" i="2" s="1" a="1"/>
  <c r="V109" i="2" s="1"/>
  <c r="U106" i="2" a="1"/>
  <c r="U106" i="2" s="1"/>
  <c r="V106" i="2" s="1" a="1"/>
  <c r="V106" i="2" s="1"/>
  <c r="U102" i="2" a="1"/>
  <c r="U102" i="2" s="1"/>
  <c r="U92" i="2" a="1"/>
  <c r="U92" i="2" s="1"/>
  <c r="G323" i="2" l="1"/>
  <c r="N323" i="2" s="1"/>
  <c r="Q329" i="2" s="1"/>
  <c r="W329" i="2" s="1"/>
  <c r="G183" i="2"/>
  <c r="J183" i="2" s="1"/>
  <c r="G92" i="2"/>
  <c r="J160" i="2" s="1"/>
  <c r="U66" i="2" a="1"/>
  <c r="U66" i="2" s="1"/>
  <c r="U20" i="2"/>
  <c r="U18" i="2"/>
  <c r="U16" i="2"/>
  <c r="U14" i="2"/>
  <c r="U12" i="2"/>
  <c r="U10" i="2"/>
  <c r="U8" i="2"/>
  <c r="U88" i="2" a="1"/>
  <c r="U88" i="2" s="1"/>
  <c r="U85" i="2" a="1"/>
  <c r="U85" i="2" s="1"/>
  <c r="U81" i="2" a="1"/>
  <c r="U81" i="2" s="1"/>
  <c r="U78" i="2" a="1"/>
  <c r="U78" i="2" s="1"/>
  <c r="U74" i="2" a="1"/>
  <c r="U74" i="2" s="1"/>
  <c r="U49" i="2" a="1"/>
  <c r="U49" i="2" s="1"/>
  <c r="U44" i="2" a="1"/>
  <c r="U44" i="2" s="1"/>
  <c r="U60" i="2" a="1"/>
  <c r="U60" i="2" s="1"/>
  <c r="U54" i="2" a="1"/>
  <c r="U54" i="2" s="1"/>
  <c r="D22" i="2"/>
  <c r="G74" i="2" s="1"/>
  <c r="U39" i="2" a="1"/>
  <c r="U39" i="2" s="1"/>
  <c r="U34" i="2" a="1"/>
  <c r="U34" i="2" s="1"/>
  <c r="U28" i="2" a="1"/>
  <c r="U28" i="2" s="1"/>
  <c r="U22" i="2" a="1"/>
  <c r="U22" i="2" s="1"/>
  <c r="Z2" i="2" l="1"/>
  <c r="N332" i="2"/>
  <c r="W332" i="2" s="1"/>
  <c r="J332" i="2"/>
  <c r="J340" i="2"/>
  <c r="J92" i="2"/>
  <c r="N109" i="2" s="1"/>
  <c r="Q109" i="2" s="1"/>
  <c r="W109" i="2" s="1"/>
  <c r="J123" i="2"/>
  <c r="N154" i="2" s="1"/>
  <c r="W154" i="2" s="1"/>
  <c r="N340" i="2"/>
  <c r="W340" i="2" s="1"/>
  <c r="J251" i="2"/>
  <c r="N281" i="2" s="1"/>
  <c r="Q285" i="2" s="1"/>
  <c r="W285" i="2" s="1"/>
  <c r="J323" i="2"/>
  <c r="N246" i="2"/>
  <c r="W246" i="2" s="1"/>
  <c r="N238" i="2"/>
  <c r="Q238" i="2" s="1"/>
  <c r="W238" i="2" s="1"/>
  <c r="N217" i="2"/>
  <c r="N192" i="2"/>
  <c r="N188" i="2"/>
  <c r="W188" i="2" s="1"/>
  <c r="N183" i="2"/>
  <c r="W183" i="2" s="1"/>
  <c r="N88" i="2"/>
  <c r="W88" i="2" s="1"/>
  <c r="N74" i="2"/>
  <c r="Q78" i="2" s="1"/>
  <c r="W78" i="2" s="1"/>
  <c r="G22" i="2"/>
  <c r="G60" i="2"/>
  <c r="N160" i="2"/>
  <c r="N176" i="2"/>
  <c r="Q180" i="2" s="1"/>
  <c r="W180" i="2" s="1"/>
  <c r="N81" i="2"/>
  <c r="Q81" i="2" s="1"/>
  <c r="W81" i="2" s="1"/>
  <c r="Q323" i="2"/>
  <c r="W323" i="2" s="1"/>
  <c r="Q326" i="2"/>
  <c r="W326" i="2" s="1"/>
  <c r="Q309" i="2" l="1"/>
  <c r="W309" i="2" s="1"/>
  <c r="Q305" i="2"/>
  <c r="W305" i="2" s="1"/>
  <c r="W202" i="2"/>
  <c r="AB195" i="2" s="1"/>
  <c r="W212" i="2"/>
  <c r="AB197" i="2" s="1"/>
  <c r="W207" i="2"/>
  <c r="AB196" i="2" s="1"/>
  <c r="Q301" i="2"/>
  <c r="W301" i="2" s="1"/>
  <c r="Q313" i="2"/>
  <c r="W313" i="2" s="1"/>
  <c r="N135" i="2"/>
  <c r="Q144" i="2" s="1"/>
  <c r="W144" i="2" s="1"/>
  <c r="N251" i="2"/>
  <c r="Q251" i="2" s="1"/>
  <c r="N123" i="2"/>
  <c r="Q129" i="2" s="1"/>
  <c r="W129" i="2" s="1"/>
  <c r="Q293" i="2"/>
  <c r="W293" i="2" s="1"/>
  <c r="Q297" i="2"/>
  <c r="W297" i="2" s="1"/>
  <c r="Q318" i="2"/>
  <c r="W318" i="2" s="1"/>
  <c r="Q289" i="2"/>
  <c r="W289" i="2" s="1"/>
  <c r="Q176" i="2"/>
  <c r="W176" i="2" s="1"/>
  <c r="Q117" i="2"/>
  <c r="W117" i="2" s="1"/>
  <c r="W192" i="2"/>
  <c r="AB193" i="2" s="1"/>
  <c r="W197" i="2"/>
  <c r="AB194" i="2" s="1"/>
  <c r="Q85" i="2"/>
  <c r="W85" i="2" s="1"/>
  <c r="Q281" i="2"/>
  <c r="W281" i="2" s="1"/>
  <c r="Q169" i="2"/>
  <c r="W169" i="2" s="1"/>
  <c r="Q166" i="2"/>
  <c r="W166" i="2" s="1"/>
  <c r="Q160" i="2"/>
  <c r="W160" i="2" s="1"/>
  <c r="Q74" i="2"/>
  <c r="W74" i="2" s="1"/>
  <c r="N92" i="2"/>
  <c r="Q92" i="2" s="1"/>
  <c r="W92" i="2" s="1"/>
  <c r="N106" i="2"/>
  <c r="W106" i="2" s="1"/>
  <c r="N66" i="2"/>
  <c r="W66" i="2" s="1"/>
  <c r="N60" i="2"/>
  <c r="W60" i="2" s="1"/>
  <c r="N54" i="2"/>
  <c r="W54" i="2" s="1"/>
  <c r="N39" i="2"/>
  <c r="W39" i="2" s="1"/>
  <c r="N34" i="2"/>
  <c r="N28" i="2"/>
  <c r="W28" i="2" s="1"/>
  <c r="N22" i="2"/>
  <c r="W22" i="2" s="1"/>
  <c r="N44" i="2"/>
  <c r="N46" i="2" s="1"/>
  <c r="Q242" i="2"/>
  <c r="W242" i="2" s="1"/>
  <c r="Q232" i="2"/>
  <c r="W232" i="2" s="1"/>
  <c r="Q226" i="2"/>
  <c r="W226" i="2" s="1"/>
  <c r="Q217" i="2"/>
  <c r="W217" i="2" s="1"/>
  <c r="Q256" i="2" l="1"/>
  <c r="W271" i="2" s="1"/>
  <c r="AB260" i="2" s="1"/>
  <c r="AB285" i="2"/>
  <c r="Q123" i="2"/>
  <c r="W123" i="2" s="1"/>
  <c r="AB284" i="2"/>
  <c r="AB286" i="2"/>
  <c r="Q135" i="2"/>
  <c r="W140" i="2" s="1"/>
  <c r="AB283" i="2"/>
  <c r="AB282" i="2"/>
  <c r="AB198" i="2"/>
  <c r="Q102" i="2"/>
  <c r="W102" i="2" s="1"/>
  <c r="N36" i="2"/>
  <c r="W34" i="2"/>
  <c r="N30" i="2"/>
  <c r="W251" i="2"/>
  <c r="N41" i="2"/>
  <c r="Q45" i="2"/>
  <c r="Q50" i="2"/>
  <c r="N56" i="2"/>
  <c r="Q44" i="2"/>
  <c r="W44" i="2" s="1"/>
  <c r="Q49" i="2"/>
  <c r="W49" i="2" s="1"/>
  <c r="W266" i="2" l="1"/>
  <c r="AB259" i="2" s="1"/>
  <c r="W256" i="2"/>
  <c r="AB257" i="2" s="1"/>
  <c r="W261" i="2"/>
  <c r="AB258" i="2" s="1"/>
  <c r="W276" i="2"/>
  <c r="AB261" i="2" s="1"/>
  <c r="W135" i="2"/>
  <c r="AB287" i="2"/>
  <c r="Z3" i="2"/>
  <c r="AB262" i="2" l="1"/>
  <c r="Z4" i="2" s="1"/>
  <c r="Z5" i="2" s="1"/>
  <c r="Z6" i="2" s="1" a="1"/>
  <c r="Z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tc={E9F1B6D8-F139-4497-8DBD-13A12011679C}</author>
    <author>tc={88D8D209-788B-44BD-B986-4F95AB3FE617}</author>
    <author>tc={F4532127-6C0E-4C46-B521-AD12D9820C87}</author>
    <author>tc={3CE7AA21-E37E-412B-9F82-BB48CA22BFE3}</author>
    <author>tc={D7A5CCCD-EE85-4885-A259-40CBE4664E6C}</author>
    <author>tc={21BB496C-FAEE-4FBB-90C1-FB511E04027C}</author>
    <author>tc={DD0B8416-633B-4A36-B6A8-0105735F9B41}</author>
    <author>tc={1B98FDC4-9D8C-4048-A52C-7F59053F89E0}</author>
    <author>tc={DCE226DF-26CC-46CC-8EBA-0DB46EA2CDD8}</author>
    <author>tc={6324C816-8067-4CF7-B144-D937D49FF4FE}</author>
  </authors>
  <commentList>
    <comment ref="L22" authorId="0" shapeId="0" xr:uid="{E9F1B6D8-F139-4497-8DBD-13A1201167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(영업활동 현금흐름 ÷ 연간 총 지출) × 100</t>
      </text>
    </comment>
    <comment ref="L28" authorId="1" shapeId="0" xr:uid="{88D8D209-788B-44BD-B986-4F95AB3FE61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영업이익 ÷ 이자비용 </t>
      </text>
    </comment>
    <comment ref="L34" authorId="2" shapeId="0" xr:uid="{F4532127-6C0E-4C46-B521-AD12D9820C8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총부채 ÷ 자기자본 × 100 </t>
      </text>
    </comment>
    <comment ref="L39" authorId="3" shapeId="0" xr:uid="{3CE7AA21-E37E-412B-9F82-BB48CA22BFE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유동자산 ÷ 유동부채 × 100 </t>
      </text>
    </comment>
    <comment ref="M53" authorId="4" shapeId="0" xr:uid="{D7A5CCCD-EE85-4885-A259-40CBE4664E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초기기업 적용 가중치</t>
      </text>
    </comment>
    <comment ref="L54" authorId="5" shapeId="0" xr:uid="{21BB496C-FAEE-4FBB-90C1-FB511E04027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영업이익률 = 영업이익 ÷ 매출액 × 100 </t>
      </text>
    </comment>
    <comment ref="L60" authorId="6" shapeId="0" xr:uid="{DD0B8416-633B-4A36-B6A8-0105735F9B41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■ 고객 유지율 ={(기말 고객 수 – 신규 고객 수) ÷ 연초 고객 수)} × 100
■ '최근 연도 기준 고객 유지율' 변화지수 = (최근 연도 고객 유지율 ÷ 최근 3개년 평균 고객 유지율) ×100 
예:  3개년 평균 고객 유지율 88.9%, 최근 연도 고객 유지율 90% 
        → 변화지수= (0.9 ÷ 0.889)×100 = 101.2% </t>
      </text>
    </comment>
    <comment ref="L66" authorId="7" shapeId="0" xr:uid="{1B98FDC4-9D8C-4048-A52C-7F59053F89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CAGR = [(당기 매출액/ 3년 전 매출액)^(1/3) - 1] × 100</t>
      </text>
    </comment>
    <comment ref="P135" authorId="8" shapeId="0" xr:uid="{DCE226DF-26CC-46CC-8EBA-0DB46EA2CD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최근 3년간</t>
      </text>
    </comment>
    <comment ref="P176" authorId="9" shapeId="0" xr:uid="{6324C816-8067-4CF7-B144-D937D49FF4F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교원 자격증, 교육학 전공자, 교육 경력 보유 인력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<sst xmlns="http://schemas.openxmlformats.org/spreadsheetml/2006/main" count="571" uniqueCount="496">
  <si>
    <t>대분류</t>
    <phoneticPr fontId="4" type="noConversion"/>
  </si>
  <si>
    <t>중분류</t>
    <phoneticPr fontId="4" type="noConversion"/>
  </si>
  <si>
    <t>소분류</t>
    <phoneticPr fontId="4" type="noConversion"/>
  </si>
  <si>
    <t>배점</t>
    <phoneticPr fontId="4" type="noConversion"/>
  </si>
  <si>
    <t>평가방법</t>
  </si>
  <si>
    <t>사업자 등록</t>
    <phoneticPr fontId="4" type="noConversion"/>
  </si>
  <si>
    <t>개인정보 처리방침</t>
    <phoneticPr fontId="4" type="noConversion"/>
  </si>
  <si>
    <t>기술 안정성</t>
    <phoneticPr fontId="4" type="noConversion"/>
  </si>
  <si>
    <t>서비스 가용률</t>
    <phoneticPr fontId="4" type="noConversion"/>
  </si>
  <si>
    <t>정보보호 인증</t>
    <phoneticPr fontId="4" type="noConversion"/>
  </si>
  <si>
    <t>교육 윤리 준수</t>
    <phoneticPr fontId="4" type="noConversion"/>
  </si>
  <si>
    <t>데이터 투명성</t>
    <phoneticPr fontId="4" type="noConversion"/>
  </si>
  <si>
    <t>전자파 적합성</t>
    <phoneticPr fontId="4" type="noConversion"/>
  </si>
  <si>
    <t>1. 기업 역량 평가 (40)</t>
    <phoneticPr fontId="4" type="noConversion"/>
  </si>
  <si>
    <t>이자보상비율</t>
    <phoneticPr fontId="4" type="noConversion"/>
  </si>
  <si>
    <t>부채비율</t>
    <phoneticPr fontId="4" type="noConversion"/>
  </si>
  <si>
    <t>유동비율</t>
    <phoneticPr fontId="4" type="noConversion"/>
  </si>
  <si>
    <t>투자 금액 규모</t>
    <phoneticPr fontId="4" type="noConversion"/>
  </si>
  <si>
    <t>투자 기관 신뢰성</t>
    <phoneticPr fontId="4" type="noConversion"/>
  </si>
  <si>
    <t>영업 이익률</t>
    <phoneticPr fontId="4" type="noConversion"/>
  </si>
  <si>
    <t>고객 유지율</t>
    <phoneticPr fontId="4" type="noConversion"/>
  </si>
  <si>
    <t>매출액 성장률</t>
    <phoneticPr fontId="4" type="noConversion"/>
  </si>
  <si>
    <t>품질 관리 역량</t>
    <phoneticPr fontId="4" type="noConversion"/>
  </si>
  <si>
    <t>장애 복구 역량</t>
    <phoneticPr fontId="4" type="noConversion"/>
  </si>
  <si>
    <t>2. 공교육 특화 가치 평가 (60)</t>
    <phoneticPr fontId="4" type="noConversion"/>
  </si>
  <si>
    <t>학습 성과 향상</t>
    <phoneticPr fontId="4" type="noConversion"/>
  </si>
  <si>
    <t>학습자 주도성 지원</t>
    <phoneticPr fontId="4" type="noConversion"/>
  </si>
  <si>
    <t>교육 운영 효율성</t>
    <phoneticPr fontId="4" type="noConversion"/>
  </si>
  <si>
    <t>교육과정 및 정책 부합도</t>
    <phoneticPr fontId="4" type="noConversion"/>
  </si>
  <si>
    <t xml:space="preserve">교육 형평성 및 포용성 </t>
    <phoneticPr fontId="4" type="noConversion"/>
  </si>
  <si>
    <t xml:space="preserve">교육 방법론 혁신 </t>
    <phoneticPr fontId="4" type="noConversion"/>
  </si>
  <si>
    <t>교육 전문성</t>
    <phoneticPr fontId="4" type="noConversion"/>
  </si>
  <si>
    <t>R&amp;D 역량</t>
    <phoneticPr fontId="4" type="noConversion"/>
  </si>
  <si>
    <t>기술적 차별성</t>
    <phoneticPr fontId="4" type="noConversion"/>
  </si>
  <si>
    <t>학습데이터 활용</t>
    <phoneticPr fontId="4" type="noConversion"/>
  </si>
  <si>
    <t>학습경험 설계</t>
    <phoneticPr fontId="4" type="noConversion"/>
  </si>
  <si>
    <t>기술 확장성</t>
    <phoneticPr fontId="4" type="noConversion"/>
  </si>
  <si>
    <t xml:space="preserve">해외시장 확장 가능성 </t>
    <phoneticPr fontId="4" type="noConversion"/>
  </si>
  <si>
    <t>핵심 인력 역량</t>
    <phoneticPr fontId="4" type="noConversion"/>
  </si>
  <si>
    <t xml:space="preserve">기술 성과물 </t>
    <phoneticPr fontId="4" type="noConversion"/>
  </si>
  <si>
    <t>사회적 책임</t>
    <phoneticPr fontId="4" type="noConversion"/>
  </si>
  <si>
    <t>디지털 격차 완화</t>
    <phoneticPr fontId="4" type="noConversion"/>
  </si>
  <si>
    <t>윤리 준수</t>
    <phoneticPr fontId="4" type="noConversion"/>
  </si>
  <si>
    <t>데이터 및 AI 윤리 책임</t>
    <phoneticPr fontId="4" type="noConversion"/>
  </si>
  <si>
    <t>협력생태계 구축</t>
    <phoneticPr fontId="4" type="noConversion"/>
  </si>
  <si>
    <t>교육기관 파트너십</t>
    <phoneticPr fontId="4" type="noConversion"/>
  </si>
  <si>
    <t>법규 준수</t>
    <phoneticPr fontId="4" type="noConversion"/>
  </si>
  <si>
    <t>윤리 기준 준수</t>
    <phoneticPr fontId="4" type="noConversion"/>
  </si>
  <si>
    <t xml:space="preserve">유해물질 규제 </t>
    <phoneticPr fontId="4" type="noConversion"/>
  </si>
  <si>
    <t>사업자등록증 유효 및 정상 영업 중인 경우</t>
    <phoneticPr fontId="2" type="noConversion"/>
  </si>
  <si>
    <t>휴업, 말소, 폐업 상태인 경우</t>
    <phoneticPr fontId="2" type="noConversion"/>
  </si>
  <si>
    <t>개인정보 처리방침이 게시되어 있고 최신 내용으로 유지 중일 경우</t>
    <phoneticPr fontId="2" type="noConversion"/>
  </si>
  <si>
    <t>방침 미게시, 법정 항목 누락, 장기 미갱신(2년 이상) 시</t>
    <phoneticPr fontId="2" type="noConversion"/>
  </si>
  <si>
    <t>최근 6개월 간 정상 운영 및 가용률 99% 이상 유지</t>
    <phoneticPr fontId="2" type="noConversion"/>
  </si>
  <si>
    <t>최근 6개월 간 가용률 99% 미만</t>
    <phoneticPr fontId="2" type="noConversion"/>
  </si>
  <si>
    <t>허위·과장 광고나 개인정보 불법 이용 등 윤리 위반 이력 있음</t>
    <phoneticPr fontId="2" type="noConversion"/>
  </si>
  <si>
    <t>허위·과장 광고나 개인정보 불법 이용 등 윤리 위반 이력 없음</t>
    <phoneticPr fontId="2" type="noConversion"/>
  </si>
  <si>
    <t>데이터 처리방침 명확히 공개 및 이용자 열람 가능 시</t>
    <phoneticPr fontId="2" type="noConversion"/>
  </si>
  <si>
    <t>데이터 처리 절차 비공개 또는 불명확 시</t>
    <phoneticPr fontId="2" type="noConversion"/>
  </si>
  <si>
    <t>P</t>
    <phoneticPr fontId="2" type="noConversion"/>
  </si>
  <si>
    <t>F</t>
    <phoneticPr fontId="2" type="noConversion"/>
  </si>
  <si>
    <t>KC 인증 또는 동등 이상 국제 인증(CE,FCC등) 보유 시</t>
    <phoneticPr fontId="2" type="noConversion"/>
  </si>
  <si>
    <t>인증 미보유 또는 불합격 시</t>
    <phoneticPr fontId="2" type="noConversion"/>
  </si>
  <si>
    <t>RoHS, REACH 등 국제 인증서 또는 공인 시험성적서 결과 적합 시</t>
    <phoneticPr fontId="2" type="noConversion"/>
  </si>
  <si>
    <t>인증 미보유 또는 공인 시험 결과 부적합 시</t>
    <phoneticPr fontId="2" type="noConversion"/>
  </si>
  <si>
    <t>영업활동 현금흐름이 총 지출의 300% 이상</t>
    <phoneticPr fontId="2" type="noConversion"/>
  </si>
  <si>
    <t>영업활동 현금흐름이 총 지출의 200% 이상~300% 미만</t>
    <phoneticPr fontId="2" type="noConversion"/>
  </si>
  <si>
    <t>영업활동 현금흐름이 총 지출의 100%이상~200% 미만</t>
    <phoneticPr fontId="2" type="noConversion"/>
  </si>
  <si>
    <t>영업활동 현금흐름이 총 지출의 50% 이상~100% 미만</t>
    <phoneticPr fontId="2" type="noConversion"/>
  </si>
  <si>
    <t>영업활동 현금흐름이 총 지출의 0%이상~50% 미만</t>
    <phoneticPr fontId="2" type="noConversion"/>
  </si>
  <si>
    <t xml:space="preserve">영업활동 현금흐름이 총 지출의 0% 미만 </t>
    <phoneticPr fontId="2" type="noConversion"/>
  </si>
  <si>
    <t>영업이익이 이자비용의 15배 이상</t>
    <phoneticPr fontId="2" type="noConversion"/>
  </si>
  <si>
    <t>영업이익이 이자비용의 8배 이상 ~ 15배 미만</t>
    <phoneticPr fontId="2" type="noConversion"/>
  </si>
  <si>
    <t>영업이익이 이자비용의 4배 이상 ~ 8배 미만</t>
    <phoneticPr fontId="2" type="noConversion"/>
  </si>
  <si>
    <t>영업이익이 이자비용의 2배 이상 ~ 4배 미만</t>
    <phoneticPr fontId="2" type="noConversion"/>
  </si>
  <si>
    <t>영업이익이 이자비용의 1배 이상 ~ 2배 미만</t>
    <phoneticPr fontId="2" type="noConversion"/>
  </si>
  <si>
    <t>영업이익이 이자비용의 1배 미만</t>
    <phoneticPr fontId="2" type="noConversion"/>
  </si>
  <si>
    <t>부채비율이 50% 이하</t>
    <phoneticPr fontId="2" type="noConversion"/>
  </si>
  <si>
    <t>부채비율이 50% 이상~100% 미만</t>
    <phoneticPr fontId="2" type="noConversion"/>
  </si>
  <si>
    <t xml:space="preserve">부채비율이 100% 이상~200% 미만 </t>
    <phoneticPr fontId="2" type="noConversion"/>
  </si>
  <si>
    <t>부채비율이 200% 이상~300% 미만</t>
    <phoneticPr fontId="2" type="noConversion"/>
  </si>
  <si>
    <t>부채비율이 300% 이상</t>
    <phoneticPr fontId="2" type="noConversion"/>
  </si>
  <si>
    <t>유동비율이 300% 이상</t>
    <phoneticPr fontId="2" type="noConversion"/>
  </si>
  <si>
    <t>유동비율이 200% 이상~300% 미만</t>
    <phoneticPr fontId="2" type="noConversion"/>
  </si>
  <si>
    <t>유동비율이 150% 이상~200% 미만</t>
    <phoneticPr fontId="2" type="noConversion"/>
  </si>
  <si>
    <t>유동비율이 100% 이상~ 150% 미만</t>
    <phoneticPr fontId="2" type="noConversion"/>
  </si>
  <si>
    <t>유동비율이 100% 미만</t>
    <phoneticPr fontId="2" type="noConversion"/>
  </si>
  <si>
    <t>외부 투자 유치 실적이 없음</t>
    <phoneticPr fontId="2" type="noConversion"/>
  </si>
  <si>
    <t>정부·공공기관, 모태펀드, TIPS 등 국가인증 VC로부터 투자 유치 </t>
    <phoneticPr fontId="4" type="noConversion"/>
  </si>
  <si>
    <t>등록된 일반 VC·AC 등 전문 투자기관의 투자 유치</t>
    <phoneticPr fontId="2" type="noConversion"/>
  </si>
  <si>
    <t>법인·기관 단위 투자(비등록 기관 포함) 유치</t>
    <phoneticPr fontId="2" type="noConversion"/>
  </si>
  <si>
    <t>개인 투자 또는 출자 확인서 수준의 비공식 투자 유치</t>
    <phoneticPr fontId="2" type="noConversion"/>
  </si>
  <si>
    <t>0. 기본 자격 검증(P/F)</t>
    <phoneticPr fontId="2" type="noConversion"/>
  </si>
  <si>
    <t>평가 지표명</t>
    <phoneticPr fontId="4" type="noConversion"/>
  </si>
  <si>
    <t>최근 5년 이내 외부 투자 유치 실적이 없음</t>
    <phoneticPr fontId="2" type="noConversion"/>
  </si>
  <si>
    <t>영업이익률이 18% 이상</t>
    <phoneticPr fontId="4" type="noConversion"/>
  </si>
  <si>
    <t xml:space="preserve">영업이익률이 13% 이상 ~ 18% 미만 </t>
    <phoneticPr fontId="2" type="noConversion"/>
  </si>
  <si>
    <t>영업이익률이 8% 이상 ~ 13% 미만</t>
    <phoneticPr fontId="2" type="noConversion"/>
  </si>
  <si>
    <t xml:space="preserve">영업이익률이 3% 이상 ~ 8% 미만 </t>
    <phoneticPr fontId="2" type="noConversion"/>
  </si>
  <si>
    <t>영업이익률이 0% 이상~ 3% 미만</t>
    <phoneticPr fontId="2" type="noConversion"/>
  </si>
  <si>
    <t>영업이익률이 0% 미만</t>
    <phoneticPr fontId="2" type="noConversion"/>
  </si>
  <si>
    <t>1-1. 재무 안전성</t>
    <phoneticPr fontId="4" type="noConversion"/>
  </si>
  <si>
    <t>최근 연도 기준 고객 유지율 변화지수가 120% 이상</t>
    <phoneticPr fontId="2" type="noConversion"/>
  </si>
  <si>
    <t xml:space="preserve">최근 연도 기준 고객 유지율 변화지수가 110% 이상 ~ 120% 미만 </t>
    <phoneticPr fontId="2" type="noConversion"/>
  </si>
  <si>
    <t>최근 연도 기준 고객 유지율 변화지수가 100% 이상 ~ 110% 미만</t>
    <phoneticPr fontId="2" type="noConversion"/>
  </si>
  <si>
    <t>최근 연도 기준 고객 유지율 변화지수가 90% 이상 ~ 100% 미만</t>
    <phoneticPr fontId="2" type="noConversion"/>
  </si>
  <si>
    <t>최근 연도 기준 고객 유지율 변화지수가 80% 이상~ 90% 미만</t>
    <phoneticPr fontId="2" type="noConversion"/>
  </si>
  <si>
    <t>최근 연도 기준 고객 유지율 변화지수가 80% 미만</t>
    <phoneticPr fontId="2" type="noConversion"/>
  </si>
  <si>
    <t>최근 3년간 연평균 성장률이 100% 이상</t>
    <phoneticPr fontId="2" type="noConversion"/>
  </si>
  <si>
    <t>최근 3년간 연평균 성장률이 50% 이상~100% 미만</t>
    <phoneticPr fontId="2" type="noConversion"/>
  </si>
  <si>
    <t>최근 3년간 연평균 성장률이 30% 이상~50% 미만</t>
    <phoneticPr fontId="2" type="noConversion"/>
  </si>
  <si>
    <t>최근 3년간 연평균 성장률이 15% 이상~30% 미만</t>
    <phoneticPr fontId="2" type="noConversion"/>
  </si>
  <si>
    <t>최근 3년간 연평균 성장률이 10% 이상~15% 미만</t>
    <phoneticPr fontId="2" type="noConversion"/>
  </si>
  <si>
    <t>최근 3년간 연평균 성장률이 5% 이상~10% 미만</t>
    <phoneticPr fontId="2" type="noConversion"/>
  </si>
  <si>
    <t>최근 3년간 연평균 성장률이 0% 이상~5% 미만 수준</t>
    <phoneticPr fontId="2" type="noConversion"/>
  </si>
  <si>
    <t>최근 3년간 연평균 성장률이 0% 미만</t>
    <phoneticPr fontId="2" type="noConversion"/>
  </si>
  <si>
    <t>1-2. 운영 지속성</t>
    <phoneticPr fontId="4" type="noConversion"/>
  </si>
  <si>
    <t>실시간 모니터링 체계를 구축하고 정기 점검 및 개선 시스템 운영</t>
    <phoneticPr fontId="2" type="noConversion"/>
  </si>
  <si>
    <t>정기 점검과 품질조사 실시</t>
    <phoneticPr fontId="2" type="noConversion"/>
  </si>
  <si>
    <t>기본적인 품질 점검은 수행하지만, 정기 점검 체계는 미비</t>
    <phoneticPr fontId="2" type="noConversion"/>
  </si>
  <si>
    <t>체계적인 품질 점검 체계 미비</t>
    <phoneticPr fontId="2" type="noConversion"/>
  </si>
  <si>
    <t>고객센터를 상시 운영하여 피드백을 수집하며, 정기적인 서비스 업데이트 및 개선 체계를 구축하여 운영</t>
    <phoneticPr fontId="2" type="noConversion"/>
  </si>
  <si>
    <t>피드백을 수집하나 정기적 개선, 이력관리는 체계화되어 있지 않음</t>
    <phoneticPr fontId="2" type="noConversion"/>
  </si>
  <si>
    <t>정기적인 피드백 수집이나 개선 절차 미비</t>
    <phoneticPr fontId="2" type="noConversion"/>
  </si>
  <si>
    <t>품질 모니터링 체계</t>
    <phoneticPr fontId="2" type="noConversion"/>
  </si>
  <si>
    <t>개선 프로세스 운영</t>
    <phoneticPr fontId="2" type="noConversion"/>
  </si>
  <si>
    <t>장애 대응 체계</t>
    <phoneticPr fontId="2" type="noConversion"/>
  </si>
  <si>
    <t>사후 관리 체계</t>
    <phoneticPr fontId="2" type="noConversion"/>
  </si>
  <si>
    <t>24시간 대응 체계와 복구 매뉴얼을 갖추고, SLA(서비스 수준 협약) 운영</t>
    <phoneticPr fontId="2" type="noConversion"/>
  </si>
  <si>
    <t>상시 대응팀을 두고, 장애 발생 시 즉시 복구 체계 가동</t>
    <phoneticPr fontId="2" type="noConversion"/>
  </si>
  <si>
    <t>담당자를 지정해 장애 대응은 가능하나, 일부 절차 미비</t>
    <phoneticPr fontId="2" type="noConversion"/>
  </si>
  <si>
    <t>장애 대응 프로세스가 부재하거나 체계적으로 운영되지 않음</t>
    <phoneticPr fontId="2" type="noConversion"/>
  </si>
  <si>
    <t>장애 원인을 분석하고, 재발 방지 대책과 점검 보고서를 정기적으로 작성</t>
    <phoneticPr fontId="2" type="noConversion"/>
  </si>
  <si>
    <t>장애 원인은 기록하나, 개선이나 재발 방지 조치는 부분적으로만 시행</t>
    <phoneticPr fontId="2" type="noConversion"/>
  </si>
  <si>
    <t>사후 분석이나 개선 조치가 거의 이루어지지 않음</t>
    <phoneticPr fontId="2" type="noConversion"/>
  </si>
  <si>
    <t>1-3. 기술 신뢰성</t>
    <phoneticPr fontId="4" type="noConversion"/>
  </si>
  <si>
    <t>사용자 참여도</t>
    <phoneticPr fontId="2" type="noConversion"/>
  </si>
  <si>
    <t>정보보호 인증을 미보유, 내부 보안정책이나 개인정보 보호체계 미비</t>
    <phoneticPr fontId="2" type="noConversion"/>
  </si>
  <si>
    <t>정보보호 인증은 아직 없으나, 내부적으로 정보보호 규정·접근통제·개인정보 관리체계 등 수립·운영</t>
    <phoneticPr fontId="2" type="noConversion"/>
  </si>
  <si>
    <t>학습 성과 개선</t>
    <phoneticPr fontId="2" type="noConversion"/>
  </si>
  <si>
    <t xml:space="preserve">최근 3개월간 참여율이 90% 이상~100% 이하 </t>
    <phoneticPr fontId="2" type="noConversion"/>
  </si>
  <si>
    <t>최근 3개월간 참여율이 80% 이상~90% 미만</t>
    <phoneticPr fontId="2" type="noConversion"/>
  </si>
  <si>
    <t>최근 3개월간 참여율이 70% 이상~80% 미만</t>
    <phoneticPr fontId="2" type="noConversion"/>
  </si>
  <si>
    <t>최근 3개월간 참여율이 60% 이상~70% 미만</t>
    <phoneticPr fontId="2" type="noConversion"/>
  </si>
  <si>
    <t>최근 3개월간 참여율이 50% 이상~60% 미만</t>
    <phoneticPr fontId="2" type="noConversion"/>
  </si>
  <si>
    <t>최근 3개월간 참여율이 40% 이상~50% 미만</t>
    <phoneticPr fontId="2" type="noConversion"/>
  </si>
  <si>
    <t>최근 3개월간 참여율이 30% 이상~40% 미만</t>
    <phoneticPr fontId="2" type="noConversion"/>
  </si>
  <si>
    <t>최근 3개월간 참여율이 20% 이상~30% 미만</t>
    <phoneticPr fontId="2" type="noConversion"/>
  </si>
  <si>
    <t>최근 3개월간 참여율이 10% 이상~20% 미만</t>
    <phoneticPr fontId="2" type="noConversion"/>
  </si>
  <si>
    <t>최근 3개월간 참여율이 10% 미만, 참여율을 측정하거나 관리할 수 있는 데이터가 현재 없음</t>
    <phoneticPr fontId="2" type="noConversion"/>
  </si>
  <si>
    <t>학습 성취도를 정기적으로 수집·분석하고 있으며, 개선 효과가 명확하게 나타나고 있음</t>
    <phoneticPr fontId="2" type="noConversion"/>
  </si>
  <si>
    <t>학습 성취도를 정기적으로 모니터링하고 있으나, 아직 뚜렷한 개선 효과는 확인되지 않음</t>
    <phoneticPr fontId="2" type="noConversion"/>
  </si>
  <si>
    <t>학습 성취도 모니터링 시스템이 있으나, 운영이 원활하지 않아 데이터가 충분히 축적되지 않음 </t>
    <phoneticPr fontId="2" type="noConversion"/>
  </si>
  <si>
    <t>학습 성취도를 측정하거나 관리하는 체계 구축 미비</t>
    <phoneticPr fontId="2" type="noConversion"/>
  </si>
  <si>
    <t>학습 선택권 제공 — 학습자가 학습 경로, 순서, 난이도, 속도 등을 직접 선택할 수 있는 기능 보유</t>
    <phoneticPr fontId="2" type="noConversion"/>
  </si>
  <si>
    <t>자기주도 학습 지원 — 학습자가 스스로 목표를 설정하고, 학습 진행을 점검·성찰할 수 있는 기능이 보유</t>
    <phoneticPr fontId="2" type="noConversion"/>
  </si>
  <si>
    <t>창작·공유 기회 제공 — 학습자가 프로젝트, 포트폴리오 등 창작물을 제작·공유할 수 있는 기능 보유</t>
    <phoneticPr fontId="2" type="noConversion"/>
  </si>
  <si>
    <t>체크리스트</t>
    <phoneticPr fontId="2" type="noConversion"/>
  </si>
  <si>
    <t>교육 효과성</t>
    <phoneticPr fontId="4" type="noConversion"/>
  </si>
  <si>
    <t>2-1. 교육적 가치</t>
    <phoneticPr fontId="4" type="noConversion"/>
  </si>
  <si>
    <t>수업 계획서·학습 경로 자동 생성 기능(템플릿 또는 AI 기반) 보유</t>
    <phoneticPr fontId="2" type="noConversion"/>
  </si>
  <si>
    <t>교육 자료 통합 관리(파일 업로드·분류·검색 기능 제공) 가능</t>
    <phoneticPr fontId="2" type="noConversion"/>
  </si>
  <si>
    <t>자동 출제 및 채점 기능(객관식/단답형 자동 채점 포함) 보유</t>
    <phoneticPr fontId="2" type="noConversion"/>
  </si>
  <si>
    <t>학습 진도 관리(개별/그룹별 진도율 실시간 확인) 가능</t>
    <phoneticPr fontId="2" type="noConversion"/>
  </si>
  <si>
    <t>출결 관리 자동화(자동 출결 체크 또는 간편 관리 기능 제공) 가능</t>
    <phoneticPr fontId="2" type="noConversion"/>
  </si>
  <si>
    <t>성적 통계 분석(자동 성적 분석 및 리포트 생성 기능 제공) 가능</t>
    <phoneticPr fontId="2" type="noConversion"/>
  </si>
  <si>
    <t>학부모 소통 기능(학습 현황 공유, 메시징 기능 등 제공) 보유</t>
    <phoneticPr fontId="2" type="noConversion"/>
  </si>
  <si>
    <t>교사 만족도 증빙(긍정적 사용 후기·추천서 3건 이상 보유) 보유</t>
    <phoneticPr fontId="2" type="noConversion"/>
  </si>
  <si>
    <t>교사 업무 효율화</t>
    <phoneticPr fontId="2" type="noConversion"/>
  </si>
  <si>
    <t>시스템 편의성</t>
    <phoneticPr fontId="2" type="noConversion"/>
  </si>
  <si>
    <t>직관적인 인터페이스(UI/UX, 별도 교육 없이 사용 가능)</t>
    <phoneticPr fontId="2" type="noConversion"/>
  </si>
  <si>
    <t>모바일 접근성(스마트폰·태블릿 등에서 최적화 지원)</t>
    <phoneticPr fontId="2" type="noConversion"/>
  </si>
  <si>
    <t>기존 시스템 연동(LMS, 학교 홈페이지 등과의 연계 가능)</t>
    <phoneticPr fontId="2" type="noConversion"/>
  </si>
  <si>
    <t>다중 사용자 지원(동시 접속자 500명 이상 안정적 지원)</t>
    <phoneticPr fontId="2" type="noConversion"/>
  </si>
  <si>
    <t>실시간 고객 지원(전화·채팅·이메일 등 즉시 지원 체계 운영)</t>
    <phoneticPr fontId="2" type="noConversion"/>
  </si>
  <si>
    <t>사용자 매뉴얼 제공(온라인 도움말, 튜토리얼, FAQ 등)</t>
    <phoneticPr fontId="2" type="noConversion"/>
  </si>
  <si>
    <t>국가교육과정 연계성</t>
    <phoneticPr fontId="2" type="noConversion"/>
  </si>
  <si>
    <t>교육정책 부합도</t>
    <phoneticPr fontId="2" type="noConversion"/>
  </si>
  <si>
    <t>도입 기관 수</t>
    <phoneticPr fontId="2" type="noConversion"/>
  </si>
  <si>
    <t>100개 기관 이상</t>
    <phoneticPr fontId="2" type="noConversion"/>
  </si>
  <si>
    <t>50-99개 기관</t>
    <phoneticPr fontId="2" type="noConversion"/>
  </si>
  <si>
    <t>20-49개 기관</t>
    <phoneticPr fontId="2" type="noConversion"/>
  </si>
  <si>
    <t>10-19개 기관</t>
    <phoneticPr fontId="2" type="noConversion"/>
  </si>
  <si>
    <t>1-9개 기관</t>
    <phoneticPr fontId="2" type="noConversion"/>
  </si>
  <si>
    <t>50,000명 이상</t>
    <phoneticPr fontId="2" type="noConversion"/>
  </si>
  <si>
    <t>20,000-49,999명</t>
    <phoneticPr fontId="2" type="noConversion"/>
  </si>
  <si>
    <t>5,000-19,999명</t>
    <phoneticPr fontId="2" type="noConversion"/>
  </si>
  <si>
    <t>1,000-4,999명</t>
    <phoneticPr fontId="2" type="noConversion"/>
  </si>
  <si>
    <t>서비스 지속성</t>
    <phoneticPr fontId="2" type="noConversion"/>
  </si>
  <si>
    <t>공교육 기관과의 재계약율 90% 이상~100% 이하</t>
    <phoneticPr fontId="2" type="noConversion"/>
  </si>
  <si>
    <t>누적 사용자 수</t>
    <phoneticPr fontId="2" type="noConversion"/>
  </si>
  <si>
    <t>공교육 기관과의 재계약율 80% 이상~90% 미만</t>
    <phoneticPr fontId="2" type="noConversion"/>
  </si>
  <si>
    <t>공교육 기관과의 재계약율 50% 이상~60% 미만</t>
    <phoneticPr fontId="2" type="noConversion"/>
  </si>
  <si>
    <t>공교육 기관과의 재계약율 70% 이상~80% 미만</t>
    <phoneticPr fontId="2" type="noConversion"/>
  </si>
  <si>
    <t>공교육 기관과의 재계약율 40% 이상~50% 미만</t>
    <phoneticPr fontId="2" type="noConversion"/>
  </si>
  <si>
    <t>공교육 기관과의 재계약율 30% 이상~40% 미만</t>
    <phoneticPr fontId="2" type="noConversion"/>
  </si>
  <si>
    <t>공교육 기관과의 재계약율 20% 이상~30% 미만</t>
    <phoneticPr fontId="2" type="noConversion"/>
  </si>
  <si>
    <t>공교육 기관과의 재계약율 10% 이상~20% 미만</t>
    <phoneticPr fontId="2" type="noConversion"/>
  </si>
  <si>
    <t>공교육 기관과의 재계약율 10% 미만</t>
    <phoneticPr fontId="2" type="noConversion"/>
  </si>
  <si>
    <t>창의융합교육(STEAM, 메이커교육 등) 지원</t>
    <phoneticPr fontId="2" type="noConversion"/>
  </si>
  <si>
    <t>사용자 안전성
(디바이스형 해당)</t>
    <phoneticPr fontId="4" type="noConversion"/>
  </si>
  <si>
    <t>교육현장 활용도</t>
    <phoneticPr fontId="4" type="noConversion"/>
  </si>
  <si>
    <t>공교육 적합성</t>
    <phoneticPr fontId="4" type="noConversion"/>
  </si>
  <si>
    <t>웹 접근성 준수 – KWCAG/국제 WCAG 기준에 따라 화면낭독기·자막·대체텍스트 등을 제공</t>
    <phoneticPr fontId="2" type="noConversion"/>
  </si>
  <si>
    <t>다국어 지원 – 한국어 외 다문화·외국인 학습자를 위한 다국어 UI 또는 콘텐츠를 제공</t>
    <phoneticPr fontId="2" type="noConversion"/>
  </si>
  <si>
    <t>학습장애 친화 기능 – 난독증 친화 글꼴, 집중 모드, 읽기 도우미 등의 기능을 제공</t>
    <phoneticPr fontId="2" type="noConversion"/>
  </si>
  <si>
    <t>디지털 격차 완화 기능 – 저사양 기기나 인터넷 환경에서도 학습이 가능하도록 설계</t>
    <phoneticPr fontId="2" type="noConversion"/>
  </si>
  <si>
    <t>공교육 현장 적합성 – 농산어촌·소규모 학교 등 다양한 교육 환경에서도 활용 가능</t>
    <phoneticPr fontId="2" type="noConversion"/>
  </si>
  <si>
    <t>공교육 기관과의 재계약율 60% 이상~70% 미만</t>
    <phoneticPr fontId="2" type="noConversion"/>
  </si>
  <si>
    <t>AI 학습자 분석 — AI를 활용해 학습자의 학습 패턴과 취약점을 분석</t>
    <phoneticPr fontId="2" type="noConversion"/>
  </si>
  <si>
    <t>맞춤형 콘텐츠 추천 — 학습자의 수준에 따라 자동으로 콘텐츠를 추천</t>
    <phoneticPr fontId="2" type="noConversion"/>
  </si>
  <si>
    <t>적응형 학습 경로 제공 — 학습자의 반응에 따라 학습 경로가 자동으로 조정</t>
    <phoneticPr fontId="2" type="noConversion"/>
  </si>
  <si>
    <t>개별화 진도 관리 — 학습자별로 진도를 설정하고 관리할 수 있도록 지원</t>
    <phoneticPr fontId="2" type="noConversion"/>
  </si>
  <si>
    <t>맞춤형 평가 제공 — 학습 수준과 유형에 따라 차별화된 평가를 제공</t>
    <phoneticPr fontId="2" type="noConversion"/>
  </si>
  <si>
    <t>학습 데이터 시각화 — 개인별 학습 성과를 대시보드 형태로 시각화</t>
    <phoneticPr fontId="2" type="noConversion"/>
  </si>
  <si>
    <t>게이미피케이션 — 포인트, 배지, 리더보드 등 게임 요소를 학습에 적용</t>
    <phoneticPr fontId="2" type="noConversion"/>
  </si>
  <si>
    <t>VR/ XR/AR 활용 — 가상현실·증강현실·확장현실 기술을 활용한 학습 콘텐츠를 제공</t>
    <phoneticPr fontId="2" type="noConversion"/>
  </si>
  <si>
    <t>메타버스 학습 환경 — 3D 가상공간에서 학습이 가능한 메타버스 플랫폼을 운영</t>
    <phoneticPr fontId="2" type="noConversion"/>
  </si>
  <si>
    <t>협력학습 지원 — 학습자 간 실시간 그룹활동이나 토론 기능을 제공</t>
    <phoneticPr fontId="2" type="noConversion"/>
  </si>
  <si>
    <t>프로젝트 기반 학습(PBL) 지원 — 프로젝트 수행과 포트폴리오 제작을 지원</t>
    <phoneticPr fontId="2" type="noConversion"/>
  </si>
  <si>
    <t>플립러닝 지원 — 사전학습과 수업활동이 연계되는 플립러닝 구조를 지원</t>
    <phoneticPr fontId="2" type="noConversion"/>
  </si>
  <si>
    <t>블렌디드 러닝 지원 — 온·오프라인을 연계한 학습 설계를 지원</t>
    <phoneticPr fontId="2" type="noConversion"/>
  </si>
  <si>
    <t>마이크로러닝 제공 — 5~10분 단위의 짧은 학습 콘텐츠를 제공</t>
    <phoneticPr fontId="2" type="noConversion"/>
  </si>
  <si>
    <t>소셜러닝 지원 — 학습자 간 지식 공유와 소통이 가능한 학습 커뮤니티를 운영</t>
    <phoneticPr fontId="2" type="noConversion"/>
  </si>
  <si>
    <t>실시간 피드백 제공 — 학습 결과를 즉시 분석하고 피드백을 제공</t>
    <phoneticPr fontId="2" type="noConversion"/>
  </si>
  <si>
    <t>교육 관련 전문 인력이 내부에 없으나, 필요 시 외부 교육 전문가에게 검증 의뢰</t>
    <phoneticPr fontId="2" type="noConversion"/>
  </si>
  <si>
    <t>교육 전문 인력 비중</t>
    <phoneticPr fontId="2" type="noConversion"/>
  </si>
  <si>
    <t>전체 인력 중 교육 전문가 비율 10~20% 미만</t>
    <phoneticPr fontId="2" type="noConversion"/>
  </si>
  <si>
    <t xml:space="preserve">교육 관련 전문 인력 비율 10% 미만 </t>
    <phoneticPr fontId="2" type="noConversion"/>
  </si>
  <si>
    <t>전체 인력 중 교육 관련 전문 인력 비율 20% 이상</t>
    <phoneticPr fontId="2" type="noConversion"/>
  </si>
  <si>
    <t>교육 전문 인력 보유</t>
    <phoneticPr fontId="2" type="noConversion"/>
  </si>
  <si>
    <t>교육 관련 전문 인력이 내부에 없으나, 상시 외부 교육 전문가 검증 자문 회의 체계 운영</t>
    <phoneticPr fontId="2" type="noConversion"/>
  </si>
  <si>
    <t>교육 관련 전문 인력이 확보되어 있음</t>
    <phoneticPr fontId="2" type="noConversion"/>
  </si>
  <si>
    <t>최근 3년간 R&amp;D 투자 비율이 평균 10% 이상</t>
    <phoneticPr fontId="2" type="noConversion"/>
  </si>
  <si>
    <t>최근 3년간 R&amp;D 투자 비율이 평균 7% 이상~10% 미만</t>
    <phoneticPr fontId="2" type="noConversion"/>
  </si>
  <si>
    <t>최근 3년간 R&amp;D 투자 비율이 평균 5% 이상~7% 미만</t>
    <phoneticPr fontId="2" type="noConversion"/>
  </si>
  <si>
    <t xml:space="preserve">최근 3년간 R&amp;D 투자 비율이 평균 3% 이상~5% 미만 </t>
    <phoneticPr fontId="2" type="noConversion"/>
  </si>
  <si>
    <t>최근 3년간 R&amp;D 투자 비율이 평균 3% 미만</t>
    <phoneticPr fontId="2" type="noConversion"/>
  </si>
  <si>
    <t>교육 혁신성</t>
    <phoneticPr fontId="4" type="noConversion"/>
  </si>
  <si>
    <t>독자 기술이나 IP를 보유하지 않으며, 외부 인증이나 기술 검증 실적도 없음</t>
    <phoneticPr fontId="2" type="noConversion"/>
  </si>
  <si>
    <t>외부 솔루션을 일부 활용하거나 일반 기술을 적용하고 있으며, 독자 IP는 없으나 기술 개선 활동을 지속하고 있음</t>
    <phoneticPr fontId="2" type="noConversion"/>
  </si>
  <si>
    <t>AI 기반 독자 기술 또는 SW 저작권·특허/IP 2건 이상, 외부 인증·수상·논문 등 공식적인 기술 검증 실적 보유</t>
    <phoneticPr fontId="2" type="noConversion"/>
  </si>
  <si>
    <t>자체 개발 기술 또는 AI·데이터 분석 기능 보유, SW 저작권·특허/IP 1건 이상 확보</t>
    <phoneticPr fontId="2" type="noConversion"/>
  </si>
  <si>
    <t>플랫폼형</t>
    <phoneticPr fontId="2" type="noConversion"/>
  </si>
  <si>
    <t>학습분석(LA) 대시보드를 통해 학습 현황을 실시간으로 모니터링함</t>
    <phoneticPr fontId="2" type="noConversion"/>
  </si>
  <si>
    <t>학습 행동 데이터를 분석·시각화하여 교사와 관리자에게 인사이트 제공</t>
    <phoneticPr fontId="2" type="noConversion"/>
  </si>
  <si>
    <t>학습 성취도나 중도탈락 위험을 예측하는 모델 운영</t>
    <phoneticPr fontId="2" type="noConversion"/>
  </si>
  <si>
    <t>교사가 학습자 지원 시 개입 시점을 파악할 수 있도록 액션 인사이트 제공</t>
    <phoneticPr fontId="2" type="noConversion"/>
  </si>
  <si>
    <t>교육기관·정부와 데이터 협력을 통해 공교육 빅데이터 생태계 형성에 기여하고 있음</t>
    <phoneticPr fontId="2" type="noConversion"/>
  </si>
  <si>
    <t>콘텐츠형</t>
    <phoneticPr fontId="2" type="noConversion"/>
  </si>
  <si>
    <t>디바이스형</t>
    <phoneticPr fontId="2" type="noConversion"/>
  </si>
  <si>
    <t>학습자의 수준을 분석하고 진단할 수 있는 기능 제공</t>
    <phoneticPr fontId="2" type="noConversion"/>
  </si>
  <si>
    <t>학습 수준별 콘텐츠를 자동으로 매칭하는 개인화 추천 시스템 운영</t>
    <phoneticPr fontId="2" type="noConversion"/>
  </si>
  <si>
    <t>학습 이력(진도, 성취도, 참여도 등) 추적</t>
    <phoneticPr fontId="2" type="noConversion"/>
  </si>
  <si>
    <t>오답 분석 및 처방 기능을 통해 학습 취약점을 개선함</t>
    <phoneticPr fontId="2" type="noConversion"/>
  </si>
  <si>
    <t>학습 효과성을 시각화한 결과 리포트를 교사·학부모에게 제공함</t>
    <phoneticPr fontId="2" type="noConversion"/>
  </si>
  <si>
    <t>학습 데이터(사용 시간, 행동 패턴, 반응 등)를 수집·분석할 수 있는 센서 기능 지원</t>
    <phoneticPr fontId="2" type="noConversion"/>
  </si>
  <si>
    <t>디바이스 내에 탑재된 AI 알고리즘을 통해 학습자 반응을 분석하고, 실시간 피드백 제공</t>
    <phoneticPr fontId="2" type="noConversion"/>
  </si>
  <si>
    <t>장비 사용 데이터가 중앙 서버 또는 교사용 대시보드로 연동됨</t>
    <phoneticPr fontId="2" type="noConversion"/>
  </si>
  <si>
    <t>콘텐츠 또는 학습 플랫폼과 연동되어 성취도 데이터를 통합 관리함</t>
    <phoneticPr fontId="2" type="noConversion"/>
  </si>
  <si>
    <t>교육기관·정부와 데이터 연계를 통해 공교육 빅데이터 생태계 형성에 기여하고 있음</t>
    <phoneticPr fontId="2" type="noConversion"/>
  </si>
  <si>
    <t>서비스형</t>
    <phoneticPr fontId="2" type="noConversion"/>
  </si>
  <si>
    <t>학습자별 맞춤형 학습 리포트를 제공</t>
    <phoneticPr fontId="2" type="noConversion"/>
  </si>
  <si>
    <t>현재 학습 수준을 진단하는 평가 도구를 운영</t>
    <phoneticPr fontId="2" type="noConversion"/>
  </si>
  <si>
    <t>학습 계획 수립과 진행을 관리하는 진도 관리 시스템을 운영</t>
    <phoneticPr fontId="2" type="noConversion"/>
  </si>
  <si>
    <t>교사와 학습자에게 개선 방향을 제시하는 교육적 피드백을 제공</t>
    <phoneticPr fontId="2" type="noConversion"/>
  </si>
  <si>
    <t>네트워크형</t>
    <phoneticPr fontId="2" type="noConversion"/>
  </si>
  <si>
    <t>학습데이터 저장·전송 과정에서 암호화 및 보안 프로토콜 적용</t>
    <phoneticPr fontId="2" type="noConversion"/>
  </si>
  <si>
    <t>학습데이터를 실시간으로 모니터링하며, 안정적 전송을 위한 네트워크 품질 관리 체계 운영</t>
    <phoneticPr fontId="2" type="noConversion"/>
  </si>
  <si>
    <t>학습데이터 처리 속도 향상과 장애 대응을 위한 클라우드·CDN 기반 인프라 구축</t>
    <phoneticPr fontId="2" type="noConversion"/>
  </si>
  <si>
    <t>학습데이터 백업 및 복구 체계를 갖추어 데이터 손실 예방</t>
    <phoneticPr fontId="2" type="noConversion"/>
  </si>
  <si>
    <t>교육기관·정부와 협력하여 안전하고 신뢰할 수 있는 데이터 유통 체계를 구축하고 있음</t>
    <phoneticPr fontId="2" type="noConversion"/>
  </si>
  <si>
    <t xml:space="preserve">2-2. 기술적 가치 </t>
    <phoneticPr fontId="4" type="noConversion"/>
  </si>
  <si>
    <t>공통 기술 역량</t>
    <phoneticPr fontId="4" type="noConversion"/>
  </si>
  <si>
    <t>평가 척도</t>
    <phoneticPr fontId="2" type="noConversion"/>
  </si>
  <si>
    <t>개인 맞춤형 지원 – 학습자의 수준·특성(예: 장애 유형 등)에 따라 맞춤 설정 지원</t>
    <phoneticPr fontId="2" type="noConversion"/>
  </si>
  <si>
    <t>점수</t>
    <phoneticPr fontId="2" type="noConversion"/>
  </si>
  <si>
    <t>가중 점수</t>
    <phoneticPr fontId="2" type="noConversion"/>
  </si>
  <si>
    <t>교육 관련 전문 인력이 내부에 없으며, 외부 검증, 자문 체계도 미비</t>
    <phoneticPr fontId="2" type="noConversion"/>
  </si>
  <si>
    <t>초등 학습자는 직관적 인터페이스와 시각적 요소 중심으로 설계</t>
    <phoneticPr fontId="2" type="noConversion"/>
  </si>
  <si>
    <t>중등 학습자는 간결한 구조와 자율적 탐색이 가능하도록 설계</t>
    <phoneticPr fontId="2" type="noConversion"/>
  </si>
  <si>
    <t>주요 기능은 3클릭 이내 접근이 가능하도록 설계</t>
    <phoneticPr fontId="2" type="noConversion"/>
  </si>
  <si>
    <t>화면 간 네비게이션이 일관되게 구성되어 있음</t>
    <phoneticPr fontId="2" type="noConversion"/>
  </si>
  <si>
    <t>진도율을 시각화하여 학습 동기 유지</t>
    <phoneticPr fontId="2" type="noConversion"/>
  </si>
  <si>
    <t>성취 피드백 즉시 제공</t>
    <phoneticPr fontId="2" type="noConversion"/>
  </si>
  <si>
    <t>학습자가 목표를 설정하고 진척도를 확인할 수 있는 기능 제공</t>
    <phoneticPr fontId="2" type="noConversion"/>
  </si>
  <si>
    <t>사용성</t>
    <phoneticPr fontId="2" type="noConversion"/>
  </si>
  <si>
    <t>접근성</t>
    <phoneticPr fontId="2" type="noConversion"/>
  </si>
  <si>
    <t>학습 활동 후 명확한 피드백 메시지 제공</t>
    <phoneticPr fontId="2" type="noConversion"/>
  </si>
  <si>
    <t>고등 학습자는 효율적 정보 구조와 전문적 학습환경 제공</t>
    <phoneticPr fontId="2" type="noConversion"/>
  </si>
  <si>
    <t>키보드만으로 모든 기능을 사용할 수 있도록 설계</t>
    <phoneticPr fontId="2" type="noConversion"/>
  </si>
  <si>
    <t>색상 대비 4.5:1 이상을 준수하여 시각 장애 학습자를 지원</t>
    <phoneticPr fontId="2" type="noConversion"/>
  </si>
  <si>
    <t>자막을 제공하여 청각 장애 학습자를 지원</t>
    <phoneticPr fontId="2" type="noConversion"/>
  </si>
  <si>
    <t>화면 확대·축소(최대 200%) 기능을 지원</t>
    <phoneticPr fontId="2" type="noConversion"/>
  </si>
  <si>
    <t>스크린리더와 호환되는 구조로 설계</t>
    <phoneticPr fontId="2" type="noConversion"/>
  </si>
  <si>
    <t>이미지에 대체 텍스트 제공</t>
    <phoneticPr fontId="2" type="noConversion"/>
  </si>
  <si>
    <t>명확한 학습 목표 제시</t>
    <phoneticPr fontId="2" type="noConversion"/>
  </si>
  <si>
    <t>포인트, 배지 등 게이미피케이션 요소 적용</t>
    <phoneticPr fontId="2" type="noConversion"/>
  </si>
  <si>
    <t>학습 진행 상황을 시각화하여 몰입도를 높임</t>
    <phoneticPr fontId="2" type="noConversion"/>
  </si>
  <si>
    <t>학습 중 즉각적인 피드백 제공</t>
    <phoneticPr fontId="2" type="noConversion"/>
  </si>
  <si>
    <t>학습자의 수준에 맞게 난이도 조절 가능</t>
    <phoneticPr fontId="2" type="noConversion"/>
  </si>
  <si>
    <t>학습 집중을 방해하는 요소 최소화</t>
    <phoneticPr fontId="2" type="noConversion"/>
  </si>
  <si>
    <t>몰입형 설계</t>
    <phoneticPr fontId="2" type="noConversion"/>
  </si>
  <si>
    <t>표준 인증 체계(OAuth 2.0 등) 를 적용하여 안전한 연동 지원</t>
    <phoneticPr fontId="2" type="noConversion"/>
  </si>
  <si>
    <t>표준 데이터 포맷(JSON, XML 등) 을 사용하여 상호운용성 확보</t>
    <phoneticPr fontId="2" type="noConversion"/>
  </si>
  <si>
    <t>학교 행정시스템(NEIS, LMS, 학교 홈페이지 등) 과의 연동 기능 제공</t>
    <phoneticPr fontId="2" type="noConversion"/>
  </si>
  <si>
    <t>시스템 연계 능력</t>
    <phoneticPr fontId="2" type="noConversion"/>
  </si>
  <si>
    <t>데이터 내보내기 화면 또는 모듈을 제공하여 사용자가 직접 이관 가능</t>
    <phoneticPr fontId="2" type="noConversion"/>
  </si>
  <si>
    <t>시스템 변경이나 버전 업그레이드 시 데이터 이관 테스트 및 검증 절차 수행</t>
    <phoneticPr fontId="2" type="noConversion"/>
  </si>
  <si>
    <t>데이터 백업 및 복원 기능을 제공하여 서비스 변경 시 정보 손실 방지</t>
    <phoneticPr fontId="2" type="noConversion"/>
  </si>
  <si>
    <t>사용자 및 학습 데이터를 표준 포맷(CSV, Excel 등) 으로 내보낼 수 있음</t>
    <phoneticPr fontId="2" type="noConversion"/>
  </si>
  <si>
    <t>데이터 이관 기능</t>
    <phoneticPr fontId="2" type="noConversion"/>
  </si>
  <si>
    <t>다국어 지원 서비스 화면 제공</t>
    <phoneticPr fontId="2" type="noConversion"/>
  </si>
  <si>
    <t>글로벌 인증(ISO, CE, 현지 교육부 인증 등) 보유</t>
    <phoneticPr fontId="2" type="noConversion"/>
  </si>
  <si>
    <t>해외 파트너십 또는 협력 네트워크(MOU 등) 를 구축함</t>
    <phoneticPr fontId="2" type="noConversion"/>
  </si>
  <si>
    <t>최근 3년간 해외 매출 실적 있음</t>
    <phoneticPr fontId="2" type="noConversion"/>
  </si>
  <si>
    <t>REST API를 제공하여 외부 시스템과 데이터 연계 가능</t>
    <phoneticPr fontId="2" type="noConversion"/>
  </si>
  <si>
    <t>경력 1년 미만 인력 비율 50% 이상 및 외주 의존</t>
    <phoneticPr fontId="2" type="noConversion"/>
  </si>
  <si>
    <t>해외 전시회·박람회 참가 경험 보유</t>
    <phoneticPr fontId="2" type="noConversion"/>
  </si>
  <si>
    <t>경력 1년 이상~3년 미만 인력 비율 50% 이상</t>
    <phoneticPr fontId="2" type="noConversion"/>
  </si>
  <si>
    <t>BM 유형별 기본 역량</t>
    <phoneticPr fontId="4" type="noConversion"/>
  </si>
  <si>
    <t>전문 인력 규모</t>
    <phoneticPr fontId="2" type="noConversion"/>
  </si>
  <si>
    <t>핵심 스킬셋 보유(플랫폼형)</t>
    <phoneticPr fontId="2" type="noConversion"/>
  </si>
  <si>
    <t>데이터 분석 및 AI 응용 역량을 보유한 인력 보유</t>
    <phoneticPr fontId="2" type="noConversion"/>
  </si>
  <si>
    <t>보안 관리(정보보호기사, ISMS 등) 전문 인력 보유</t>
    <phoneticPr fontId="2" type="noConversion"/>
  </si>
  <si>
    <t>UI/UX 디자인 및 사용자 환경 설계 전문 인력 보유</t>
    <phoneticPr fontId="2" type="noConversion"/>
  </si>
  <si>
    <t>클라우드 인프라(AWS, Azure 등) 관리 인력 보유</t>
    <phoneticPr fontId="2" type="noConversion"/>
  </si>
  <si>
    <t>데이터베이스 설계 및 관리 전문 인력 보유</t>
    <phoneticPr fontId="2" type="noConversion"/>
  </si>
  <si>
    <t>핵심 스킬셋 보유(콘텐츠형)</t>
    <phoneticPr fontId="2" type="noConversion"/>
  </si>
  <si>
    <t>품질관리(QA) 및 검수 체계 운영</t>
    <phoneticPr fontId="2" type="noConversion"/>
  </si>
  <si>
    <t>데이터 분석 및 학습효과 검증 인력 보유</t>
    <phoneticPr fontId="2" type="noConversion"/>
  </si>
  <si>
    <t>UI/UX 디자인 관련 전공 또는 자격을 보유한 인력 확보</t>
    <phoneticPr fontId="2" type="noConversion"/>
  </si>
  <si>
    <t>멀티미디어 제작 및 영상 편집 전문 인력 보유</t>
    <phoneticPr fontId="2" type="noConversion"/>
  </si>
  <si>
    <t>교육과정 분석 및 교수설계(ID) 역량을 가진 인력 보유</t>
    <phoneticPr fontId="2" type="noConversion"/>
  </si>
  <si>
    <t>핵심 스킬셋 보유(디바이스형)</t>
    <phoneticPr fontId="2" type="noConversion"/>
  </si>
  <si>
    <t>품질관리 및 테스트(QA) 인력 보유</t>
    <phoneticPr fontId="2" type="noConversion"/>
  </si>
  <si>
    <t>SW·펌웨어 개발 인력 보유</t>
    <phoneticPr fontId="2" type="noConversion"/>
  </si>
  <si>
    <t>제조·공정 관리 인력 보유</t>
    <phoneticPr fontId="2" type="noConversion"/>
  </si>
  <si>
    <t>HW 설계 및 회로 개발 인력 보유</t>
    <phoneticPr fontId="2" type="noConversion"/>
  </si>
  <si>
    <t>유지보수 및 AS 체계 운영</t>
    <phoneticPr fontId="2" type="noConversion"/>
  </si>
  <si>
    <t>핵심 스킬셋 보유(서비스형)</t>
    <phoneticPr fontId="2" type="noConversion"/>
  </si>
  <si>
    <t>교육 컨설팅 및 환류 지원 인력 보유</t>
    <phoneticPr fontId="2" type="noConversion"/>
  </si>
  <si>
    <t>성과 분석 및 교육 평가 담당 인력 보유</t>
    <phoneticPr fontId="2" type="noConversion"/>
  </si>
  <si>
    <t>고객관리·소통 담당 인력 확보</t>
    <phoneticPr fontId="2" type="noConversion"/>
  </si>
  <si>
    <t>교육 운영 및 현장 관리 전담 인력 보유</t>
    <phoneticPr fontId="2" type="noConversion"/>
  </si>
  <si>
    <t>핵심 스킬셋 보유(네트워크형)</t>
    <phoneticPr fontId="2" type="noConversion"/>
  </si>
  <si>
    <t>장애 대응 및 복구 체계 운영</t>
    <phoneticPr fontId="2" type="noConversion"/>
  </si>
  <si>
    <t>클라우드 인프라 관리 인력 보유</t>
    <phoneticPr fontId="2" type="noConversion"/>
  </si>
  <si>
    <t>보안 관리 전문 인력 보유</t>
    <phoneticPr fontId="2" type="noConversion"/>
  </si>
  <si>
    <t>시스템 모니터링 인력 보유</t>
    <phoneticPr fontId="2" type="noConversion"/>
  </si>
  <si>
    <t>네트워크 설계 및 구축 인력 보유</t>
    <phoneticPr fontId="2" type="noConversion"/>
  </si>
  <si>
    <t>핵심 기능(플랫폼형)</t>
    <phoneticPr fontId="2" type="noConversion"/>
  </si>
  <si>
    <t>시스템 성능(플랫폼형)</t>
    <phoneticPr fontId="2" type="noConversion"/>
  </si>
  <si>
    <t>제작 실적(콘텐츠형)</t>
    <phoneticPr fontId="2" type="noConversion"/>
  </si>
  <si>
    <t>콘텐츠 수준(콘텐츠형)</t>
    <phoneticPr fontId="2" type="noConversion"/>
  </si>
  <si>
    <t>서비스 규모(네트워크형)</t>
    <phoneticPr fontId="2" type="noConversion"/>
  </si>
  <si>
    <t>기술 수준(네트워크형)</t>
    <phoneticPr fontId="2" type="noConversion"/>
  </si>
  <si>
    <t>제품 개발 실적(디바이스형)</t>
    <phoneticPr fontId="2" type="noConversion"/>
  </si>
  <si>
    <t>기술 수준(디바이스형)</t>
    <phoneticPr fontId="2" type="noConversion"/>
  </si>
  <si>
    <t>서비스 운영 실적(서비스형)</t>
    <phoneticPr fontId="2" type="noConversion"/>
  </si>
  <si>
    <t>서비스 범위(서비스형)</t>
    <phoneticPr fontId="2" type="noConversion"/>
  </si>
  <si>
    <t>학습관리, 분석, 평가, 피드백 기능 모두 구현</t>
    <phoneticPr fontId="2" type="noConversion"/>
  </si>
  <si>
    <t>교사·학생·학부모가 통합적으로 연계되는 서비스를 제공</t>
    <phoneticPr fontId="2" type="noConversion"/>
  </si>
  <si>
    <t>학습관리·분석·소통 기능을 통합 운영할 수 있도록 설계</t>
    <phoneticPr fontId="2" type="noConversion"/>
  </si>
  <si>
    <t>교사·학생 간 실시간 피드백 및 소통 기능을 제공</t>
    <phoneticPr fontId="2" type="noConversion"/>
  </si>
  <si>
    <t>동시접속자 10,000명 이상 환경에서도 안정적으로 운영</t>
    <phoneticPr fontId="2" type="noConversion"/>
  </si>
  <si>
    <t>최근 1년간 신규 콘텐츠 14개 이하 제작</t>
    <phoneticPr fontId="2" type="noConversion"/>
  </si>
  <si>
    <t>최근 1년간 신규 콘텐츠 15개 이상~29개 이하 제작</t>
    <phoneticPr fontId="2" type="noConversion"/>
  </si>
  <si>
    <t>최근 1년간 신규 콘텐츠 30개 이상~49개 이하 제작</t>
    <phoneticPr fontId="2" type="noConversion"/>
  </si>
  <si>
    <t>최근 1년간 신규 콘텐츠 50개 이상 제작</t>
    <phoneticPr fontId="2" type="noConversion"/>
  </si>
  <si>
    <t>동시접속자 5,000명 이상~9999명 환경에서 안정적으로 운영</t>
    <phoneticPr fontId="2" type="noConversion"/>
  </si>
  <si>
    <t>동시접속자 1000명 미만의 환경에서 기본적인 서비스 안정성 유지</t>
    <phoneticPr fontId="2" type="noConversion"/>
  </si>
  <si>
    <t>동시접속자 1,000명 이상~4999명의 환경에서 안정적으로 운영</t>
    <phoneticPr fontId="2" type="noConversion"/>
  </si>
  <si>
    <t>XR·VR·AR 등 실감형 기술 활용</t>
    <phoneticPr fontId="2" type="noConversion"/>
  </si>
  <si>
    <t>텍스트 중심 자료가 아닌 멀티미디어 중심으로 구성</t>
    <phoneticPr fontId="2" type="noConversion"/>
  </si>
  <si>
    <t>교육과정과의 정합성 확보</t>
    <phoneticPr fontId="2" type="noConversion"/>
  </si>
  <si>
    <t>게이미피케이션 및 개인화 학습 기능 포함</t>
    <phoneticPr fontId="2" type="noConversion"/>
  </si>
  <si>
    <t>최근 3년간 자체 개발 제품 5종 이상을 보유</t>
    <phoneticPr fontId="2" type="noConversion"/>
  </si>
  <si>
    <t>최근 3년간 자체 개발 제품 3~4종을 보유</t>
    <phoneticPr fontId="2" type="noConversion"/>
  </si>
  <si>
    <t>최근 3년간 자체 개발 제품 1~2종을 보유</t>
    <phoneticPr fontId="2" type="noConversion"/>
  </si>
  <si>
    <t>OEM/ODM 제품 중심으로 운영</t>
    <phoneticPr fontId="2" type="noConversion"/>
  </si>
  <si>
    <t>부분적으로 독자 기술을 적용</t>
    <phoneticPr fontId="2" type="noConversion"/>
  </si>
  <si>
    <t>최근 1년간 프로젝트 4건 이하 운영</t>
    <phoneticPr fontId="2" type="noConversion"/>
  </si>
  <si>
    <t>최근 1년간 프로젝트 5~9건 운영</t>
    <phoneticPr fontId="2" type="noConversion"/>
  </si>
  <si>
    <t>최근 1년간 교육 서비스 프로젝트 15건 이상 운영</t>
    <phoneticPr fontId="2" type="noConversion"/>
  </si>
  <si>
    <t>최근 1년간 프로젝트 10~14건 운영</t>
    <phoneticPr fontId="2" type="noConversion"/>
  </si>
  <si>
    <t>기획–실행–평가–환류 전 과정을 수행하고, 교사 연수·학생 지원까지 포함</t>
    <phoneticPr fontId="2" type="noConversion"/>
  </si>
  <si>
    <t>기획–실행–평가 전 과정을 수행</t>
    <phoneticPr fontId="2" type="noConversion"/>
  </si>
  <si>
    <t>기획–실행 중심으로 운영하고 있으며, 평가 체계는 부분적 운영</t>
    <phoneticPr fontId="2" type="noConversion"/>
  </si>
  <si>
    <t>단발성 사업 수행 중심으로 운영</t>
    <phoneticPr fontId="2" type="noConversion"/>
  </si>
  <si>
    <t>단일 지역 또는 시범 운영 수준으로 운영</t>
    <phoneticPr fontId="2" type="noConversion"/>
  </si>
  <si>
    <t>전국 모든 시·도 단위에서 서비스 운영</t>
    <phoneticPr fontId="2" type="noConversion"/>
  </si>
  <si>
    <t>3개 이상 광역시·도 단위에서 서비스 운영</t>
    <phoneticPr fontId="2" type="noConversion"/>
  </si>
  <si>
    <t>1~2개 광역시·도 단위에서 서비스 운영</t>
    <phoneticPr fontId="2" type="noConversion"/>
  </si>
  <si>
    <t>시·군·구 등 기초 지자체 단위에서 서비스 운영</t>
    <phoneticPr fontId="2" type="noConversion"/>
  </si>
  <si>
    <t>기본 IaaS/SaaS 수준으로 운영</t>
    <phoneticPr fontId="2" type="noConversion"/>
  </si>
  <si>
    <t>클라우드 기반 서비스에 부하 분산·자동 복구 체계 운영</t>
    <phoneticPr fontId="2" type="noConversion"/>
  </si>
  <si>
    <t>온프레미스 기반 또는 제한적 클라우드 병행 운영</t>
    <phoneticPr fontId="2" type="noConversion"/>
  </si>
  <si>
    <t>클라우드 기반 서비스에 CDN 일부 구축</t>
    <phoneticPr fontId="2" type="noConversion"/>
  </si>
  <si>
    <t>클라우드 네이티브 기반과 CDN 전국망 구축</t>
    <phoneticPr fontId="2" type="noConversion"/>
  </si>
  <si>
    <t>독자 기술을 적용하고, 공인 시험·인증 통과</t>
    <phoneticPr fontId="2" type="noConversion"/>
  </si>
  <si>
    <t>독자 기술을 적용하고, 시범학교·실증사업 등에서 검증 받음</t>
    <phoneticPr fontId="2" type="noConversion"/>
  </si>
  <si>
    <t>상용 기술 활용</t>
    <phoneticPr fontId="2" type="noConversion"/>
  </si>
  <si>
    <t>저사양 기기 지원</t>
    <phoneticPr fontId="2" type="noConversion"/>
  </si>
  <si>
    <t>5년 이상 된 기기(저사양 PC, 구형 태블릿 등)에서도 정상적으로 작동</t>
    <phoneticPr fontId="2" type="noConversion"/>
  </si>
  <si>
    <t>3년 이내 출시된 기기 기준에서 원활하게 작동</t>
    <phoneticPr fontId="2" type="noConversion"/>
  </si>
  <si>
    <t>최신 기기에서만 정상 작동</t>
    <phoneticPr fontId="2" type="noConversion"/>
  </si>
  <si>
    <t>오프라인 모드 지원</t>
    <phoneticPr fontId="2" type="noConversion"/>
  </si>
  <si>
    <t>콘텐츠 다운로드</t>
    <phoneticPr fontId="2" type="noConversion"/>
  </si>
  <si>
    <t>오프라인 학습</t>
    <phoneticPr fontId="2" type="noConversion"/>
  </si>
  <si>
    <t>자동 동기화 기능</t>
    <phoneticPr fontId="2" type="noConversion"/>
  </si>
  <si>
    <t xml:space="preserve">데이터 절감 기능 </t>
    <phoneticPr fontId="2" type="noConversion"/>
  </si>
  <si>
    <t>저화질 모드</t>
    <phoneticPr fontId="2" type="noConversion"/>
  </si>
  <si>
    <t>이미지 압축</t>
    <phoneticPr fontId="2" type="noConversion"/>
  </si>
  <si>
    <t>데이터 사용량 표시</t>
    <phoneticPr fontId="2" type="noConversion"/>
  </si>
  <si>
    <t>데이터 최소 수집 원칙을 준수</t>
    <phoneticPr fontId="2" type="noConversion"/>
  </si>
  <si>
    <t>수집 목적 내 활용 제한 규정을 명시</t>
    <phoneticPr fontId="2" type="noConversion"/>
  </si>
  <si>
    <t>학생 데이터 제3자 제공 금지 규정을 시행</t>
    <phoneticPr fontId="2" type="noConversion"/>
  </si>
  <si>
    <t>데이터 보유 기간 관리 체계를 운영</t>
    <phoneticPr fontId="2" type="noConversion"/>
  </si>
  <si>
    <t>데이터 삭제 요청 시 즉시 처리 프로세스를 운영</t>
    <phoneticPr fontId="2" type="noConversion"/>
  </si>
  <si>
    <t>직원 대상 데이터 윤리 교육을 연 1회 이상 실시</t>
    <phoneticPr fontId="2" type="noConversion"/>
  </si>
  <si>
    <t>데이터·AI 알고리즘의 공정성 점검을 정기적으로 수행</t>
    <phoneticPr fontId="2" type="noConversion"/>
  </si>
  <si>
    <t>데이터 활용 결과 설명 체계 마련</t>
    <phoneticPr fontId="2" type="noConversion"/>
  </si>
  <si>
    <t>시·도교육청과 공식 협력 MOU·협약 체결</t>
    <phoneticPr fontId="2" type="noConversion"/>
  </si>
  <si>
    <t>지역 교육지원청과 공동 교육 프로그램 운영</t>
    <phoneticPr fontId="2" type="noConversion"/>
  </si>
  <si>
    <t>초·중·고등학교와 공동 수업 또는 기자재 도입 사업 수행</t>
    <phoneticPr fontId="2" type="noConversion"/>
  </si>
  <si>
    <t>특수학교·대안학교와 협력하여 교육 지원 수행</t>
    <phoneticPr fontId="2" type="noConversion"/>
  </si>
  <si>
    <t>대학(교육대·사범대 등)과 연구 프로젝트나 부설학교 운영 협력</t>
    <phoneticPr fontId="2" type="noConversion"/>
  </si>
  <si>
    <t>KERIS 등 교육 관련 공공기관과 협력</t>
    <phoneticPr fontId="2" type="noConversion"/>
  </si>
  <si>
    <t>1년 이상 지속적인 협력 경험을 보유하</t>
    <phoneticPr fontId="2" type="noConversion"/>
  </si>
  <si>
    <t>교재·교육자료 공동 개발</t>
    <phoneticPr fontId="2" type="noConversion"/>
  </si>
  <si>
    <t>언론·학회 등을 통해 협력 성과 확산</t>
    <phoneticPr fontId="2" type="noConversion"/>
  </si>
  <si>
    <t xml:space="preserve">2-3. 사회적 가치 </t>
    <phoneticPr fontId="4" type="noConversion"/>
  </si>
  <si>
    <t>체크리스트</t>
  </si>
  <si>
    <t>교육 전문(교원자격 보유·교육학 전공) 인력 보유</t>
    <phoneticPr fontId="2" type="noConversion"/>
  </si>
  <si>
    <t>체크리스트</t>
    <phoneticPr fontId="2" type="noConversion"/>
  </si>
  <si>
    <t>배점</t>
    <phoneticPr fontId="2" type="noConversion"/>
  </si>
  <si>
    <t>자금 조달 능력</t>
    <phoneticPr fontId="2" type="noConversion"/>
  </si>
  <si>
    <t>재무 건전성</t>
    <phoneticPr fontId="2" type="noConversion"/>
  </si>
  <si>
    <t>초기기업 택 1</t>
  </si>
  <si>
    <r>
      <t xml:space="preserve">현금흐름 안전성
</t>
    </r>
    <r>
      <rPr>
        <b/>
        <sz val="12"/>
        <color rgb="FFC00000"/>
        <rFont val="맑은 고딕"/>
        <family val="3"/>
        <charset val="129"/>
        <scheme val="minor"/>
      </rPr>
      <t>(*초기기업만 해당)</t>
    </r>
    <phoneticPr fontId="4" type="noConversion"/>
  </si>
  <si>
    <r>
      <t xml:space="preserve">투자 유치 실적
</t>
    </r>
    <r>
      <rPr>
        <b/>
        <sz val="12"/>
        <color rgb="FFC00000"/>
        <rFont val="맑은 고딕"/>
        <family val="3"/>
        <charset val="129"/>
        <scheme val="minor"/>
      </rPr>
      <t>(성장, 성숙 단계 기업 optional)</t>
    </r>
    <phoneticPr fontId="4" type="noConversion"/>
  </si>
  <si>
    <t>가중치
(지표)</t>
    <phoneticPr fontId="2" type="noConversion"/>
  </si>
  <si>
    <t>BM</t>
    <phoneticPr fontId="2" type="noConversion"/>
  </si>
  <si>
    <t>(택1)</t>
    <phoneticPr fontId="2" type="noConversion"/>
  </si>
  <si>
    <t>초기기업   택 1</t>
    <phoneticPr fontId="2" type="noConversion"/>
  </si>
  <si>
    <t>복수 선택 시,
BM별 매출
/
인력 비중 적용</t>
    <phoneticPr fontId="2" type="noConversion"/>
  </si>
  <si>
    <t>복수 선택 시, 
BM별 매출
/
인력 비중 적용</t>
    <phoneticPr fontId="2" type="noConversion"/>
  </si>
  <si>
    <t>가중치
(중븐류)</t>
    <phoneticPr fontId="2" type="noConversion"/>
  </si>
  <si>
    <t>가중치
(소분류)</t>
    <phoneticPr fontId="2" type="noConversion"/>
  </si>
  <si>
    <t>복수 
선택 시,
BM별 
매출
/
인력 
비중 
적용</t>
    <phoneticPr fontId="2" type="noConversion"/>
  </si>
  <si>
    <r>
      <t xml:space="preserve">가중치
</t>
    </r>
    <r>
      <rPr>
        <b/>
        <sz val="10"/>
        <color theme="0"/>
        <rFont val="맑은 고딕"/>
        <family val="3"/>
        <charset val="129"/>
        <scheme val="minor"/>
      </rPr>
      <t>(하위지표)</t>
    </r>
    <phoneticPr fontId="2" type="noConversion"/>
  </si>
  <si>
    <t>✓</t>
    <phoneticPr fontId="2" type="noConversion"/>
  </si>
  <si>
    <t xml:space="preserve">하위 지표 </t>
    <phoneticPr fontId="2" type="noConversion"/>
  </si>
  <si>
    <t>기업 역량 평가</t>
    <phoneticPr fontId="2" type="noConversion"/>
  </si>
  <si>
    <t>공교육 특화 가치 평가</t>
    <phoneticPr fontId="2" type="noConversion"/>
  </si>
  <si>
    <t>기본 자격 검증</t>
    <phoneticPr fontId="2" type="noConversion"/>
  </si>
  <si>
    <t>계</t>
    <phoneticPr fontId="2" type="noConversion"/>
  </si>
  <si>
    <t>등급</t>
    <phoneticPr fontId="2" type="noConversion"/>
  </si>
  <si>
    <t>성장,성숙</t>
    <phoneticPr fontId="2" type="noConversion"/>
  </si>
  <si>
    <t>가중치
(대분류)</t>
    <phoneticPr fontId="2" type="noConversion"/>
  </si>
  <si>
    <t>AI 기반 맞춤형 학습</t>
    <phoneticPr fontId="2" type="noConversion"/>
  </si>
  <si>
    <t>혁신적 학습 환경</t>
    <phoneticPr fontId="2" type="noConversion"/>
  </si>
  <si>
    <t>다양한 학습 형태 지원</t>
    <phoneticPr fontId="2" type="noConversion"/>
  </si>
  <si>
    <t>교육부 고시 성취기준과의 연계하여 콘텐츠/활동/평가 설계</t>
    <phoneticPr fontId="2" type="noConversion"/>
  </si>
  <si>
    <t>개정 교육과정(2022 개정·2025 고교학점제 개정) 반영</t>
    <phoneticPr fontId="2" type="noConversion"/>
  </si>
  <si>
    <t>초/중/고등학교 중 1개 이상 해당 학교급 교육과정 내용 반영</t>
    <phoneticPr fontId="2" type="noConversion"/>
  </si>
  <si>
    <t>교육과정 기반 평가 체계(성취기준, 수행평가 등)와 연계된 평가 기능 제공</t>
    <phoneticPr fontId="2" type="noConversion"/>
  </si>
  <si>
    <t>교과서 등 공인 교육자료와 정합성을 확보한 콘텐츠/기능 제공</t>
    <phoneticPr fontId="2" type="noConversion"/>
  </si>
  <si>
    <t>교육과정 내용체계 요소(핵심개념·기능·지식·태도 등) 반영</t>
    <phoneticPr fontId="2" type="noConversion"/>
  </si>
  <si>
    <t>AI·디지털기반 개인 맞춤형 학습 기능 제공(AI 개인화, 적응형 학습, 학습 분석 등)</t>
    <phoneticPr fontId="2" type="noConversion"/>
  </si>
  <si>
    <t>기초학력 보장 및 학습격차 해소 지원 기능(기초문해력·수리력 지원, 수준별 학습, 진도 차이 조정 등)</t>
    <phoneticPr fontId="2" type="noConversion"/>
  </si>
  <si>
    <t>학교의 디지털 수업·평가 체계 혁신 지원(원격수업, 디지털 학습도구, 수행평가 지원)</t>
    <phoneticPr fontId="2" type="noConversion"/>
  </si>
  <si>
    <t>진로·진학 관련 콘텐츠/기능 제공</t>
    <phoneticPr fontId="2" type="noConversion"/>
  </si>
  <si>
    <t>학생 정서·안전·복지 지원 기능 제공</t>
    <phoneticPr fontId="2" type="noConversion"/>
  </si>
  <si>
    <t xml:space="preserve">최근 5년 이내 누적 투자금이 10억~30억 미만 </t>
    <phoneticPr fontId="2" type="noConversion"/>
  </si>
  <si>
    <t>최근 5년 이내 누적 투자금이 30억~100억 미만</t>
    <phoneticPr fontId="2" type="noConversion"/>
  </si>
  <si>
    <t>최근 5년 이내 누적 투자금이 10억 미만 (Pre-seed~초기 엔젤)</t>
    <phoneticPr fontId="2" type="noConversion"/>
  </si>
  <si>
    <t>최근 5년 이내 누적 투자금이 100억 이상</t>
    <phoneticPr fontId="4" type="noConversion"/>
  </si>
  <si>
    <t>교사 연수 프로그램 운영</t>
    <phoneticPr fontId="2" type="noConversion"/>
  </si>
  <si>
    <t>ISMS-P, CSAP 또는 ISO/IEC 27001 인증을 보유하고 있으며, 인증이 유효기간 내이고 현재 제공 중인 서비스 범위 전체에 적용됨</t>
    <phoneticPr fontId="2" type="noConversion"/>
  </si>
  <si>
    <t>ISMS-P, CSAP 또는 ISO/IEC 27001 인증인증 취득 절차를 진행 중이거나, 유효기간이 지나 갱신이 필요하거나, 인증이 일부 서비스에만 적용됨</t>
    <phoneticPr fontId="2" type="noConversion"/>
  </si>
  <si>
    <t>플랫폼</t>
    <phoneticPr fontId="2" type="noConversion"/>
  </si>
  <si>
    <t>콘텐츠</t>
    <phoneticPr fontId="2" type="noConversion"/>
  </si>
  <si>
    <t>디바이스</t>
    <phoneticPr fontId="2" type="noConversion"/>
  </si>
  <si>
    <t>서비스</t>
    <phoneticPr fontId="2" type="noConversion"/>
  </si>
  <si>
    <t>네트워크</t>
    <phoneticPr fontId="2" type="noConversion"/>
  </si>
  <si>
    <t>비중(%)</t>
    <phoneticPr fontId="2" type="noConversion"/>
  </si>
  <si>
    <t>비중 적용 가중점수</t>
    <phoneticPr fontId="2" type="noConversion"/>
  </si>
  <si>
    <t>합계</t>
    <phoneticPr fontId="2" type="noConversion"/>
  </si>
  <si>
    <t>BM 구분</t>
    <phoneticPr fontId="2" type="noConversion"/>
  </si>
  <si>
    <t>구간등급</t>
    <phoneticPr fontId="2" type="noConversion"/>
  </si>
  <si>
    <t>▶BM 비중 입력</t>
    <phoneticPr fontId="2" type="noConversion"/>
  </si>
  <si>
    <t>경력 10년 이상 인력 비율 30% 이상</t>
    <phoneticPr fontId="2" type="noConversion"/>
  </si>
  <si>
    <t>경력 5년 이상 10년 미만 인력 비율 40% 이상</t>
    <phoneticPr fontId="2" type="noConversion"/>
  </si>
  <si>
    <t>경력 3년 이상~5년 미만 인력 비율 40% 이상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</si>
</sst>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Segoe UI Symbol"/>
      <family val="3"/>
    </font>
    <font>
      <b/>
      <sz val="12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C00000"/>
      <name val="맑은 고딕"/>
      <family val="3"/>
      <charset val="129"/>
      <scheme val="minor"/>
    </font>
    <font>
      <b/>
      <sz val="24"/>
      <color rgb="FFC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7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0" xfId="1"/>
    <xf numFmtId="0" fontId="5" fillId="3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  <xf numFmtId="0" fontId="8" fillId="0" borderId="4" xfId="1" applyFont="1" applyBorder="1"/>
    <xf numFmtId="0" fontId="3" fillId="4" borderId="6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7" fillId="3" borderId="3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0" fillId="0" borderId="6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2" xfId="1" applyFont="1" applyFill="1" applyBorder="1" applyAlignment="1">
      <alignment horizontal="center" vertical="center"/>
    </xf>
    <xf numFmtId="0" fontId="11" fillId="4" borderId="6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5" fillId="3" borderId="8" xfId="1" applyFont="1" applyFill="1" applyBorder="1" applyAlignment="1">
      <alignment horizontal="left" vertical="center"/>
    </xf>
    <xf numFmtId="0" fontId="16" fillId="0" borderId="8" xfId="1" applyFont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10" fillId="0" borderId="2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3" xfId="1" applyFont="1" applyBorder="1" applyAlignment="1">
      <alignment vertical="center"/>
    </xf>
    <xf numFmtId="1" fontId="20" fillId="0" borderId="2" xfId="1" applyNumberFormat="1" applyFont="1" applyBorder="1" applyAlignment="1">
      <alignment horizontal="center" vertical="center"/>
    </xf>
    <xf numFmtId="176" fontId="19" fillId="0" borderId="2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2" xfId="1" applyFont="1" applyBorder="1"/>
    <xf numFmtId="0" fontId="12" fillId="0" borderId="3" xfId="1" applyFont="1" applyBorder="1"/>
    <xf numFmtId="0" fontId="10" fillId="0" borderId="11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7" borderId="2" xfId="1" applyFont="1" applyFill="1" applyBorder="1" applyAlignment="1">
      <alignment vertical="center"/>
    </xf>
    <xf numFmtId="0" fontId="6" fillId="7" borderId="3" xfId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17" fillId="8" borderId="16" xfId="1" applyFont="1" applyFill="1" applyBorder="1" applyAlignment="1">
      <alignment horizontal="center" vertical="center"/>
    </xf>
    <xf numFmtId="0" fontId="17" fillId="8" borderId="16" xfId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vertical="center"/>
    </xf>
    <xf numFmtId="0" fontId="15" fillId="9" borderId="1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6" fillId="9" borderId="0" xfId="1" applyFont="1" applyFill="1" applyAlignment="1">
      <alignment vertical="center"/>
    </xf>
    <xf numFmtId="0" fontId="15" fillId="9" borderId="3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3" borderId="1" xfId="0" applyFill="1" applyBorder="1">
      <alignment vertical="center"/>
    </xf>
    <xf numFmtId="0" fontId="24" fillId="8" borderId="16" xfId="1" applyFont="1" applyFill="1" applyBorder="1" applyAlignment="1">
      <alignment horizontal="center" vertical="center"/>
    </xf>
    <xf numFmtId="0" fontId="25" fillId="8" borderId="16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6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8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4" borderId="19" xfId="1" applyFont="1" applyFill="1" applyBorder="1" applyAlignment="1">
      <alignment horizontal="center" vertical="center"/>
    </xf>
    <xf numFmtId="2" fontId="22" fillId="4" borderId="20" xfId="1" applyNumberFormat="1" applyFont="1" applyFill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14" fillId="0" borderId="6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14" fillId="0" borderId="17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2" fontId="27" fillId="0" borderId="22" xfId="1" applyNumberFormat="1" applyFont="1" applyBorder="1" applyAlignment="1">
      <alignment vertical="center"/>
    </xf>
    <xf numFmtId="0" fontId="26" fillId="2" borderId="23" xfId="1" applyFont="1" applyFill="1" applyBorder="1" applyAlignment="1">
      <alignment horizontal="center" vertical="center"/>
    </xf>
    <xf numFmtId="0" fontId="26" fillId="2" borderId="24" xfId="1" applyFont="1" applyFill="1" applyBorder="1" applyAlignment="1">
      <alignment horizontal="center" vertical="center"/>
    </xf>
    <xf numFmtId="0" fontId="26" fillId="14" borderId="26" xfId="1" applyFont="1" applyFill="1" applyBorder="1" applyAlignment="1">
      <alignment horizontal="center" vertical="center"/>
    </xf>
    <xf numFmtId="2" fontId="28" fillId="13" borderId="21" xfId="1" applyNumberFormat="1" applyFont="1" applyFill="1" applyBorder="1" applyAlignment="1">
      <alignment horizontal="center" vertical="center"/>
    </xf>
    <xf numFmtId="0" fontId="26" fillId="14" borderId="27" xfId="1" applyFont="1" applyFill="1" applyBorder="1" applyAlignment="1">
      <alignment horizontal="center" vertical="center"/>
    </xf>
    <xf numFmtId="177" fontId="18" fillId="0" borderId="2" xfId="1" applyNumberFormat="1" applyFont="1" applyBorder="1" applyAlignment="1">
      <alignment vertical="center"/>
    </xf>
    <xf numFmtId="177" fontId="1" fillId="0" borderId="0" xfId="1" applyNumberFormat="1" applyAlignment="1">
      <alignment horizontal="center" vertical="center"/>
    </xf>
    <xf numFmtId="177" fontId="18" fillId="0" borderId="6" xfId="1" applyNumberFormat="1" applyFont="1" applyBorder="1" applyAlignment="1">
      <alignment vertical="center"/>
    </xf>
    <xf numFmtId="177" fontId="10" fillId="0" borderId="2" xfId="1" applyNumberFormat="1" applyFont="1" applyBorder="1" applyAlignment="1">
      <alignment vertical="center"/>
    </xf>
    <xf numFmtId="177" fontId="10" fillId="0" borderId="3" xfId="1" applyNumberFormat="1" applyFont="1" applyBorder="1" applyAlignment="1">
      <alignment vertical="center"/>
    </xf>
    <xf numFmtId="177" fontId="10" fillId="0" borderId="6" xfId="1" applyNumberFormat="1" applyFont="1" applyBorder="1" applyAlignment="1">
      <alignment horizontal="center" vertical="center"/>
    </xf>
    <xf numFmtId="177" fontId="10" fillId="0" borderId="2" xfId="1" applyNumberFormat="1" applyFont="1" applyBorder="1" applyAlignment="1">
      <alignment horizontal="center" vertical="center"/>
    </xf>
    <xf numFmtId="177" fontId="10" fillId="0" borderId="3" xfId="1" applyNumberFormat="1" applyFont="1" applyBorder="1" applyAlignment="1">
      <alignment horizontal="center" vertical="center"/>
    </xf>
    <xf numFmtId="177" fontId="1" fillId="0" borderId="15" xfId="1" applyNumberFormat="1" applyBorder="1" applyAlignment="1">
      <alignment horizontal="center" vertical="center"/>
    </xf>
    <xf numFmtId="177" fontId="11" fillId="4" borderId="6" xfId="1" applyNumberFormat="1" applyFont="1" applyFill="1" applyBorder="1" applyAlignment="1">
      <alignment horizontal="center" vertical="center"/>
    </xf>
    <xf numFmtId="177" fontId="11" fillId="4" borderId="2" xfId="1" applyNumberFormat="1" applyFont="1" applyFill="1" applyBorder="1" applyAlignment="1">
      <alignment horizontal="center" vertical="center"/>
    </xf>
    <xf numFmtId="177" fontId="11" fillId="4" borderId="3" xfId="1" applyNumberFormat="1" applyFont="1" applyFill="1" applyBorder="1" applyAlignment="1">
      <alignment horizontal="center" vertical="center"/>
    </xf>
    <xf numFmtId="177" fontId="12" fillId="0" borderId="2" xfId="1" applyNumberFormat="1" applyFont="1" applyBorder="1" applyAlignment="1">
      <alignment horizontal="center" vertical="center"/>
    </xf>
    <xf numFmtId="177" fontId="12" fillId="0" borderId="3" xfId="1" applyNumberFormat="1" applyFont="1" applyBorder="1" applyAlignment="1">
      <alignment horizontal="center" vertical="center"/>
    </xf>
    <xf numFmtId="177" fontId="12" fillId="0" borderId="2" xfId="1" applyNumberFormat="1" applyFont="1" applyBorder="1"/>
    <xf numFmtId="177" fontId="12" fillId="0" borderId="3" xfId="1" applyNumberFormat="1" applyFont="1" applyBorder="1"/>
    <xf numFmtId="177" fontId="18" fillId="0" borderId="2" xfId="1" applyNumberFormat="1" applyFont="1" applyBorder="1" applyAlignment="1">
      <alignment horizontal="center" vertical="center"/>
    </xf>
    <xf numFmtId="177" fontId="13" fillId="0" borderId="2" xfId="1" applyNumberFormat="1" applyFont="1" applyBorder="1" applyAlignment="1">
      <alignment horizontal="center" vertical="center"/>
    </xf>
    <xf numFmtId="177" fontId="13" fillId="0" borderId="3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177" fontId="15" fillId="0" borderId="2" xfId="1" applyNumberFormat="1" applyFont="1" applyBorder="1" applyAlignment="1">
      <alignment vertical="center"/>
    </xf>
    <xf numFmtId="177" fontId="15" fillId="7" borderId="2" xfId="1" applyNumberFormat="1" applyFont="1" applyFill="1" applyBorder="1" applyAlignment="1">
      <alignment vertical="center"/>
    </xf>
    <xf numFmtId="177" fontId="15" fillId="7" borderId="3" xfId="1" applyNumberFormat="1" applyFont="1" applyFill="1" applyBorder="1" applyAlignment="1">
      <alignment vertical="center"/>
    </xf>
    <xf numFmtId="177" fontId="15" fillId="9" borderId="2" xfId="1" applyNumberFormat="1" applyFont="1" applyFill="1" applyBorder="1" applyAlignment="1">
      <alignment vertical="center"/>
    </xf>
    <xf numFmtId="177" fontId="15" fillId="7" borderId="6" xfId="1" applyNumberFormat="1" applyFont="1" applyFill="1" applyBorder="1" applyAlignment="1">
      <alignment vertical="center"/>
    </xf>
    <xf numFmtId="177" fontId="15" fillId="7" borderId="1" xfId="1" applyNumberFormat="1" applyFont="1" applyFill="1" applyBorder="1" applyAlignment="1">
      <alignment vertical="center"/>
    </xf>
    <xf numFmtId="177" fontId="15" fillId="9" borderId="1" xfId="1" applyNumberFormat="1" applyFont="1" applyFill="1" applyBorder="1" applyAlignment="1">
      <alignment vertical="center"/>
    </xf>
    <xf numFmtId="177" fontId="15" fillId="9" borderId="3" xfId="1" applyNumberFormat="1" applyFont="1" applyFill="1" applyBorder="1" applyAlignment="1">
      <alignment vertical="center"/>
    </xf>
    <xf numFmtId="0" fontId="17" fillId="8" borderId="16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3" fillId="4" borderId="9" xfId="1" applyFont="1" applyFill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1" fillId="4" borderId="6" xfId="1" applyFont="1" applyFill="1" applyBorder="1" applyAlignment="1">
      <alignment horizontal="left" vertical="center"/>
    </xf>
    <xf numFmtId="0" fontId="11" fillId="4" borderId="2" xfId="1" applyFont="1" applyFill="1" applyBorder="1" applyAlignment="1">
      <alignment horizontal="left" vertical="center"/>
    </xf>
    <xf numFmtId="0" fontId="11" fillId="4" borderId="3" xfId="1" applyFont="1" applyFill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2" xfId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5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29" fillId="3" borderId="1" xfId="1" applyFont="1" applyFill="1" applyBorder="1" applyAlignment="1">
      <alignment horizontal="left" vertical="center"/>
    </xf>
    <xf numFmtId="177" fontId="1" fillId="0" borderId="20" xfId="1" applyNumberFormat="1" applyBorder="1"/>
    <xf numFmtId="0" fontId="1" fillId="0" borderId="8" xfId="1" applyBorder="1"/>
    <xf numFmtId="177" fontId="21" fillId="0" borderId="21" xfId="1" applyNumberFormat="1" applyFont="1" applyBorder="1"/>
    <xf numFmtId="0" fontId="3" fillId="0" borderId="29" xfId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3" fillId="0" borderId="23" xfId="1" applyFont="1" applyBorder="1" applyAlignment="1">
      <alignment horizontal="center"/>
    </xf>
    <xf numFmtId="0" fontId="3" fillId="15" borderId="26" xfId="1" applyFont="1" applyFill="1" applyBorder="1" applyAlignment="1">
      <alignment horizontal="center"/>
    </xf>
    <xf numFmtId="0" fontId="1" fillId="11" borderId="1" xfId="1" applyFill="1" applyBorder="1"/>
    <xf numFmtId="0" fontId="3" fillId="16" borderId="25" xfId="1" applyFont="1" applyFill="1" applyBorder="1" applyAlignment="1">
      <alignment horizontal="center"/>
    </xf>
    <xf numFmtId="0" fontId="30" fillId="11" borderId="28" xfId="1" applyFont="1" applyFill="1" applyBorder="1" applyAlignment="1">
      <alignment horizontal="center"/>
    </xf>
    <xf numFmtId="0" fontId="29" fillId="3" borderId="3" xfId="1" applyFont="1" applyFill="1" applyBorder="1" applyAlignment="1">
      <alignment horizontal="left" vertical="center"/>
    </xf>
    <xf numFmtId="0" fontId="15" fillId="0" borderId="1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7" fillId="11" borderId="2" xfId="1" applyFont="1" applyFill="1" applyBorder="1" applyAlignment="1">
      <alignment horizontal="center" vertical="center" wrapText="1"/>
    </xf>
    <xf numFmtId="0" fontId="7" fillId="11" borderId="3" xfId="1" applyFont="1" applyFill="1" applyBorder="1" applyAlignment="1">
      <alignment horizontal="center" vertical="center" wrapText="1"/>
    </xf>
    <xf numFmtId="0" fontId="13" fillId="10" borderId="1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" fillId="11" borderId="3" xfId="1" applyFill="1" applyBorder="1" applyAlignment="1">
      <alignment horizontal="left" vertical="center" wrapText="1"/>
    </xf>
    <xf numFmtId="0" fontId="1" fillId="11" borderId="1" xfId="1" applyFill="1" applyBorder="1" applyAlignment="1">
      <alignment horizontal="left" vertical="center" wrapText="1"/>
    </xf>
    <xf numFmtId="0" fontId="1" fillId="11" borderId="6" xfId="1" applyFill="1" applyBorder="1" applyAlignment="1">
      <alignment horizontal="left" vertical="center" wrapText="1"/>
    </xf>
    <xf numFmtId="0" fontId="10" fillId="11" borderId="2" xfId="1" applyFont="1" applyFill="1" applyBorder="1" applyAlignment="1">
      <alignment horizontal="left" vertical="center" wrapText="1"/>
    </xf>
    <xf numFmtId="0" fontId="10" fillId="11" borderId="3" xfId="1" applyFont="1" applyFill="1" applyBorder="1" applyAlignment="1">
      <alignment horizontal="left" vertical="center" wrapText="1"/>
    </xf>
    <xf numFmtId="0" fontId="15" fillId="0" borderId="6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29" fillId="0" borderId="2" xfId="1" applyFont="1" applyBorder="1" applyAlignment="1">
      <alignment horizontal="center" vertical="center"/>
    </xf>
    <xf numFmtId="0" fontId="29" fillId="0" borderId="3" xfId="1" applyFont="1" applyBorder="1" applyAlignment="1">
      <alignment horizontal="center" vertical="center"/>
    </xf>
    <xf numFmtId="0" fontId="9" fillId="12" borderId="2" xfId="1" applyFont="1" applyFill="1" applyBorder="1" applyAlignment="1">
      <alignment horizontal="center" vertical="center"/>
    </xf>
    <xf numFmtId="0" fontId="9" fillId="12" borderId="9" xfId="1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6" borderId="3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12" fillId="11" borderId="2" xfId="1" applyFont="1" applyFill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표준" xfId="0" builtinId="0"/>
    <cellStyle name="표준 2" xfId="1" xr:uid="{A993865A-F7DB-4F52-AC87-09BB858156D4}"/>
  </cellStyles>
  <dxfs count="0"/>
  <tableStyles count="0" defaultTableStyle="TableStyleMedium2" defaultPivotStyle="PivotStyleLight16"/>
  <colors>
    <mruColors>
      <color rgb="FF0000FF"/>
      <color rgb="FFFFFFCC"/>
      <color rgb="FF009999"/>
      <color rgb="FF00CC99"/>
      <color rgb="FF008080"/>
      <color rgb="FFFF7C80"/>
      <color rgb="FFFF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홍세림" id="{251A4C23-CDB6-44D0-89B9-E795E3C0581C}" userId="S::slhong@ubob.com::d781377c-55e3-42e4-83d0-0a58758444d3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2" dT="2025-11-10T06:56:50.98" personId="{251A4C23-CDB6-44D0-89B9-E795E3C0581C}" id="{E9F1B6D8-F139-4497-8DBD-13A12011679C}">
    <text>(영업활동 현금흐름 ÷ 연간 총 지출) × 100</text>
  </threadedComment>
  <threadedComment ref="L28" dT="2025-11-10T07:03:20.35" personId="{251A4C23-CDB6-44D0-89B9-E795E3C0581C}" id="{88D8D209-788B-44BD-B986-4F95AB3FE617}">
    <text xml:space="preserve">영업이익 ÷ 이자비용 </text>
  </threadedComment>
  <threadedComment ref="L34" dT="2025-11-10T07:01:50.42" personId="{251A4C23-CDB6-44D0-89B9-E795E3C0581C}" id="{F4532127-6C0E-4C46-B521-AD12D9820C87}">
    <text xml:space="preserve">총부채 ÷ 자기자본 × 100 </text>
  </threadedComment>
  <threadedComment ref="L39" dT="2025-11-10T07:19:12.20" personId="{251A4C23-CDB6-44D0-89B9-E795E3C0581C}" id="{3CE7AA21-E37E-412B-9F82-BB48CA22BFE3}">
    <text xml:space="preserve">유동자산 ÷ 유동부채 × 100 </text>
  </threadedComment>
  <threadedComment ref="M53" dT="2025-11-14T05:04:31.80" personId="{251A4C23-CDB6-44D0-89B9-E795E3C0581C}" id="{D7A5CCCD-EE85-4885-A259-40CBE4664E6C}">
    <text>초기기업 적용 가중치</text>
  </threadedComment>
  <threadedComment ref="L54" dT="2025-11-10T07:19:19.79" personId="{251A4C23-CDB6-44D0-89B9-E795E3C0581C}" id="{21BB496C-FAEE-4FBB-90C1-FB511E04027C}">
    <text xml:space="preserve">영업이익률 = 영업이익 ÷ 매출액 × 100 </text>
  </threadedComment>
  <threadedComment ref="L60" dT="2025-11-10T07:24:48.95" personId="{251A4C23-CDB6-44D0-89B9-E795E3C0581C}" id="{DD0B8416-633B-4A36-B6A8-0105735F9B41}">
    <text xml:space="preserve">■ 고객 유지율 ={(기말 고객 수 – 신규 고객 수) ÷ 연초 고객 수)} × 100
■ '최근 연도 기준 고객 유지율' 변화지수 = (최근 연도 고객 유지율 ÷ 최근 3개년 평균 고객 유지율) ×100 
예:  3개년 평균 고객 유지율 88.9%, 최근 연도 고객 유지율 90% 
        → 변화지수= (0.9 ÷ 0.889)×100 = 101.2% </text>
  </threadedComment>
  <threadedComment ref="L66" dT="2025-11-10T07:46:25.99" personId="{251A4C23-CDB6-44D0-89B9-E795E3C0581C}" id="{1B98FDC4-9D8C-4048-A52C-7F59053F89E0}">
    <text>CAGR = [(당기 매출액/ 3년 전 매출액)^(1/3) - 1] × 100</text>
  </threadedComment>
  <threadedComment ref="P135" dT="2025-11-10T08:12:13.74" personId="{251A4C23-CDB6-44D0-89B9-E795E3C0581C}" id="{DCE226DF-26CC-46CC-8EBA-0DB46EA2CDD8}">
    <text>최근 3년간</text>
  </threadedComment>
  <threadedComment ref="P176" dT="2025-11-10T08:47:44.26" personId="{251A4C23-CDB6-44D0-89B9-E795E3C0581C}" id="{6324C816-8067-4CF7-B144-D937D49FF4FE}">
    <text xml:space="preserve">교원 자격증, 교육학 전공자, 교육 경력 보유 인력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458D-EABA-4FBA-9145-086C620E93C1}">
  <dimension ref="A1:AB354"/>
  <sheetViews>
    <sheetView tabSelected="1" topLeftCell="N1" zoomScale="89" zoomScaleNormal="89" workbookViewId="0">
      <pane ySplit="7" topLeftCell="A12" activePane="bottomLeft" state="frozen"/>
      <selection pane="bottomLeft" activeCell="R17" sqref="R17"/>
    </sheetView>
  </sheetViews>
  <sheetFormatPr defaultColWidth="8.83203125" defaultRowHeight="17" x14ac:dyDescent="0.45"/>
  <cols>
    <col min="1" max="1" width="3.6640625" style="1" customWidth="1"/>
    <col min="2" max="2" width="33" style="1" customWidth="1"/>
    <col min="3" max="4" width="8.6640625" style="1" customWidth="1"/>
    <col min="5" max="5" width="24.6640625" style="15" customWidth="1"/>
    <col min="6" max="7" width="8.4140625" style="15" customWidth="1"/>
    <col min="8" max="8" width="28.5" style="15" customWidth="1"/>
    <col min="9" max="9" width="9.4140625" style="15" customWidth="1"/>
    <col min="10" max="10" width="10" style="15" bestFit="1" customWidth="1"/>
    <col min="11" max="11" width="4.08203125" style="17" customWidth="1"/>
    <col min="12" max="12" width="34.6640625" style="15" customWidth="1"/>
    <col min="13" max="13" width="8.58203125" style="15" customWidth="1"/>
    <col min="14" max="14" width="7.5" style="15" customWidth="1"/>
    <col min="15" max="15" width="4" style="104" customWidth="1"/>
    <col min="16" max="16" width="26.5" style="15" bestFit="1" customWidth="1"/>
    <col min="17" max="17" width="9.08203125" style="15" customWidth="1"/>
    <col min="18" max="18" width="117.33203125" style="17" customWidth="1"/>
    <col min="19" max="19" width="8.08203125" style="46" customWidth="1"/>
    <col min="20" max="20" width="9.08203125" style="15" customWidth="1"/>
    <col min="21" max="22" width="8.08203125" style="43" customWidth="1"/>
    <col min="23" max="23" width="11.6640625" style="1" customWidth="1"/>
    <col min="24" max="24" width="10.08203125" style="1" bestFit="1" customWidth="1"/>
    <col min="25" max="25" width="33.1640625" style="2" bestFit="1" customWidth="1"/>
    <col min="26" max="26" width="12.6640625" style="2" customWidth="1"/>
    <col min="27" max="27" width="8.83203125" style="2"/>
    <col min="28" max="28" width="16.58203125" style="2" customWidth="1"/>
    <col min="29" max="16384" width="8.83203125" style="2"/>
  </cols>
  <sheetData>
    <row r="1" spans="2:26" ht="17.5" thickBot="1" x14ac:dyDescent="0.5"/>
    <row r="2" spans="2:26" ht="25.5" x14ac:dyDescent="0.45">
      <c r="Y2" s="127" t="s">
        <v>456</v>
      </c>
      <c r="Z2" s="112" t="str">
        <f>IF(COUNTIF(U8:U21,"F")&gt;0,"FAIL","PASS")</f>
        <v>PASS</v>
      </c>
    </row>
    <row r="3" spans="2:26" ht="25.5" x14ac:dyDescent="0.45">
      <c r="Y3" s="128" t="s">
        <v>454</v>
      </c>
      <c r="Z3" s="113">
        <f>SUM(W22:W91)</f>
        <v>0</v>
      </c>
    </row>
    <row r="4" spans="2:26" ht="25.5" x14ac:dyDescent="0.45">
      <c r="Y4" s="128" t="s">
        <v>455</v>
      </c>
      <c r="Z4" s="113">
        <f>SUM(W92:W191,AB198,W217:W251,AB262,AB287,W323:W349)</f>
        <v>0</v>
      </c>
    </row>
    <row r="5" spans="2:26" ht="25.5" x14ac:dyDescent="0.45">
      <c r="Y5" s="131" t="s">
        <v>457</v>
      </c>
      <c r="Z5" s="126">
        <f>SUM(Z3:Z4)</f>
        <v>0</v>
      </c>
    </row>
    <row r="6" spans="2:26" ht="36.5" thickBot="1" x14ac:dyDescent="0.5">
      <c r="Y6" s="129" t="s">
        <v>458</v>
      </c>
      <c r="Z6" s="130" t="str" cm="1">
        <f t="array" ref="Z6">_xlfn.IFS(
  Z5&gt;=95,"AAA",
  Z5&gt;=90,"AA",
  Z5&gt;=85,"A",
  Z5&gt;=80,"BBB",
  Z5&gt;=70,"BB",
  Z5&gt;=65,"B",
  Z5&gt;=60,"CCC",
  Z5&gt;=55,"CC",
  Z5&gt;=50,"C",
  TRUE,"D"
)</f>
        <v>D</v>
      </c>
    </row>
    <row r="7" spans="2:26" ht="34" x14ac:dyDescent="0.45">
      <c r="B7" s="89" t="s">
        <v>0</v>
      </c>
      <c r="C7" s="89" t="s">
        <v>436</v>
      </c>
      <c r="D7" s="90" t="s">
        <v>460</v>
      </c>
      <c r="E7" s="89" t="s">
        <v>1</v>
      </c>
      <c r="F7" s="89" t="s">
        <v>436</v>
      </c>
      <c r="G7" s="90" t="s">
        <v>448</v>
      </c>
      <c r="H7" s="89" t="s">
        <v>2</v>
      </c>
      <c r="I7" s="89" t="s">
        <v>436</v>
      </c>
      <c r="J7" s="90" t="s">
        <v>449</v>
      </c>
      <c r="K7" s="160"/>
      <c r="L7" s="89" t="s">
        <v>93</v>
      </c>
      <c r="M7" s="89"/>
      <c r="N7" s="90" t="s">
        <v>442</v>
      </c>
      <c r="O7" s="90" t="s">
        <v>443</v>
      </c>
      <c r="P7" s="89" t="s">
        <v>453</v>
      </c>
      <c r="Q7" s="90" t="s">
        <v>451</v>
      </c>
      <c r="R7" s="89" t="s">
        <v>274</v>
      </c>
      <c r="S7" s="89" t="s">
        <v>3</v>
      </c>
      <c r="T7" s="106" t="s">
        <v>452</v>
      </c>
      <c r="U7" s="89" t="s">
        <v>276</v>
      </c>
      <c r="V7" s="89" t="s">
        <v>491</v>
      </c>
      <c r="W7" s="107" t="s">
        <v>277</v>
      </c>
      <c r="X7" s="89" t="s">
        <v>4</v>
      </c>
    </row>
    <row r="8" spans="2:26" ht="21" x14ac:dyDescent="0.45">
      <c r="B8" s="227" t="s">
        <v>92</v>
      </c>
      <c r="C8" s="67"/>
      <c r="D8" s="67"/>
      <c r="E8" s="215" t="s">
        <v>46</v>
      </c>
      <c r="F8" s="24"/>
      <c r="G8" s="58"/>
      <c r="H8" s="88"/>
      <c r="I8" s="38"/>
      <c r="J8" s="38"/>
      <c r="K8" s="161"/>
      <c r="L8" s="210" t="s">
        <v>5</v>
      </c>
      <c r="M8" s="66"/>
      <c r="N8" s="64"/>
      <c r="O8" s="98"/>
      <c r="P8" s="22"/>
      <c r="Q8" s="116"/>
      <c r="R8" s="10" t="s">
        <v>49</v>
      </c>
      <c r="S8" s="45" t="s">
        <v>59</v>
      </c>
      <c r="T8" s="108" t="b">
        <v>0</v>
      </c>
      <c r="U8" s="196" t="str">
        <f>IF(T8=TRUE,"P",IF(T9=TRUE,"F",""))</f>
        <v/>
      </c>
      <c r="V8" s="180"/>
      <c r="W8" s="13"/>
      <c r="X8" s="13"/>
    </row>
    <row r="9" spans="2:26" ht="21" x14ac:dyDescent="0.45">
      <c r="B9" s="227"/>
      <c r="C9" s="67"/>
      <c r="D9" s="67"/>
      <c r="E9" s="215"/>
      <c r="F9" s="24"/>
      <c r="G9" s="58"/>
      <c r="H9" s="18"/>
      <c r="I9" s="13"/>
      <c r="J9" s="13"/>
      <c r="K9" s="162"/>
      <c r="L9" s="206"/>
      <c r="M9" s="63"/>
      <c r="N9" s="63"/>
      <c r="O9" s="99"/>
      <c r="P9" s="20"/>
      <c r="Q9" s="116"/>
      <c r="R9" s="3" t="s">
        <v>50</v>
      </c>
      <c r="S9" s="42" t="s">
        <v>60</v>
      </c>
      <c r="T9" s="109" t="b">
        <v>0</v>
      </c>
      <c r="U9" s="196"/>
      <c r="V9" s="179"/>
      <c r="W9" s="4"/>
      <c r="X9" s="4"/>
    </row>
    <row r="10" spans="2:26" ht="21" x14ac:dyDescent="0.45">
      <c r="B10" s="227"/>
      <c r="C10" s="67"/>
      <c r="D10" s="67"/>
      <c r="E10" s="215"/>
      <c r="F10" s="24"/>
      <c r="G10" s="58"/>
      <c r="H10" s="18"/>
      <c r="I10" s="9"/>
      <c r="J10" s="9"/>
      <c r="K10" s="163"/>
      <c r="L10" s="205" t="s">
        <v>6</v>
      </c>
      <c r="M10" s="62"/>
      <c r="N10" s="62"/>
      <c r="O10" s="100"/>
      <c r="P10" s="20"/>
      <c r="Q10" s="116"/>
      <c r="R10" s="3" t="s">
        <v>51</v>
      </c>
      <c r="S10" s="42" t="s">
        <v>59</v>
      </c>
      <c r="T10" s="109" t="b">
        <v>0</v>
      </c>
      <c r="U10" s="196" t="str">
        <f>IF(T10=TRUE,"P",IF(T11=TRUE,"F",""))</f>
        <v/>
      </c>
      <c r="V10" s="179"/>
      <c r="W10" s="4"/>
      <c r="X10" s="4"/>
    </row>
    <row r="11" spans="2:26" ht="21" x14ac:dyDescent="0.45">
      <c r="B11" s="227"/>
      <c r="C11" s="67"/>
      <c r="D11" s="67"/>
      <c r="E11" s="216"/>
      <c r="F11" s="25"/>
      <c r="G11" s="59"/>
      <c r="H11" s="18"/>
      <c r="I11" s="13"/>
      <c r="J11" s="13"/>
      <c r="K11" s="162"/>
      <c r="L11" s="206"/>
      <c r="M11" s="63"/>
      <c r="N11" s="63"/>
      <c r="O11" s="99"/>
      <c r="P11" s="20"/>
      <c r="Q11" s="116"/>
      <c r="R11" s="3" t="s">
        <v>52</v>
      </c>
      <c r="S11" s="42" t="s">
        <v>60</v>
      </c>
      <c r="T11" s="109" t="b">
        <v>0</v>
      </c>
      <c r="U11" s="196"/>
      <c r="V11" s="179"/>
      <c r="W11" s="4"/>
      <c r="X11" s="4"/>
    </row>
    <row r="12" spans="2:26" ht="21" x14ac:dyDescent="0.45">
      <c r="B12" s="227"/>
      <c r="C12" s="67"/>
      <c r="D12" s="67"/>
      <c r="E12" s="232" t="s">
        <v>7</v>
      </c>
      <c r="F12" s="23"/>
      <c r="G12" s="57"/>
      <c r="H12" s="18"/>
      <c r="I12" s="9"/>
      <c r="J12" s="9"/>
      <c r="K12" s="163"/>
      <c r="L12" s="205" t="s">
        <v>8</v>
      </c>
      <c r="M12" s="62"/>
      <c r="N12" s="62"/>
      <c r="O12" s="100"/>
      <c r="P12" s="20"/>
      <c r="Q12" s="116"/>
      <c r="R12" s="3" t="s">
        <v>53</v>
      </c>
      <c r="S12" s="42" t="s">
        <v>59</v>
      </c>
      <c r="T12" s="109" t="b">
        <v>0</v>
      </c>
      <c r="U12" s="196" t="str">
        <f>IF(T12=TRUE,"P",IF(T13=TRUE,"F",""))</f>
        <v/>
      </c>
      <c r="V12" s="179"/>
      <c r="W12" s="4"/>
      <c r="X12" s="4"/>
    </row>
    <row r="13" spans="2:26" ht="21" x14ac:dyDescent="0.45">
      <c r="B13" s="227"/>
      <c r="C13" s="67"/>
      <c r="D13" s="67"/>
      <c r="E13" s="216"/>
      <c r="F13" s="25"/>
      <c r="G13" s="59"/>
      <c r="H13" s="18"/>
      <c r="I13" s="13"/>
      <c r="J13" s="13"/>
      <c r="K13" s="162"/>
      <c r="L13" s="206"/>
      <c r="M13" s="63"/>
      <c r="N13" s="63"/>
      <c r="O13" s="99"/>
      <c r="P13" s="20"/>
      <c r="Q13" s="116"/>
      <c r="R13" s="3" t="s">
        <v>54</v>
      </c>
      <c r="S13" s="42" t="s">
        <v>60</v>
      </c>
      <c r="T13" s="109" t="b">
        <v>0</v>
      </c>
      <c r="U13" s="196"/>
      <c r="V13" s="179"/>
      <c r="W13" s="4"/>
      <c r="X13" s="4"/>
    </row>
    <row r="14" spans="2:26" ht="21" x14ac:dyDescent="0.45">
      <c r="B14" s="227"/>
      <c r="C14" s="67"/>
      <c r="D14" s="67"/>
      <c r="E14" s="232" t="s">
        <v>47</v>
      </c>
      <c r="F14" s="23"/>
      <c r="G14" s="57"/>
      <c r="H14" s="18"/>
      <c r="I14" s="9"/>
      <c r="J14" s="9"/>
      <c r="K14" s="163"/>
      <c r="L14" s="205" t="s">
        <v>10</v>
      </c>
      <c r="M14" s="62"/>
      <c r="N14" s="62"/>
      <c r="O14" s="100"/>
      <c r="P14" s="20"/>
      <c r="Q14" s="116"/>
      <c r="R14" s="3" t="s">
        <v>56</v>
      </c>
      <c r="S14" s="42" t="s">
        <v>59</v>
      </c>
      <c r="T14" s="109" t="b">
        <v>0</v>
      </c>
      <c r="U14" s="196" t="str">
        <f>IF(T14=TRUE,"P",IF(T15=TRUE,"F",""))</f>
        <v/>
      </c>
      <c r="V14" s="179"/>
      <c r="W14" s="4"/>
      <c r="X14" s="4"/>
    </row>
    <row r="15" spans="2:26" ht="21" x14ac:dyDescent="0.45">
      <c r="B15" s="227"/>
      <c r="C15" s="67"/>
      <c r="D15" s="67"/>
      <c r="E15" s="215"/>
      <c r="F15" s="24"/>
      <c r="G15" s="58"/>
      <c r="H15" s="18"/>
      <c r="I15" s="13"/>
      <c r="J15" s="13"/>
      <c r="K15" s="162"/>
      <c r="L15" s="206"/>
      <c r="M15" s="63"/>
      <c r="N15" s="63"/>
      <c r="O15" s="99"/>
      <c r="P15" s="20"/>
      <c r="Q15" s="116"/>
      <c r="R15" s="3" t="s">
        <v>55</v>
      </c>
      <c r="S15" s="42" t="s">
        <v>60</v>
      </c>
      <c r="T15" s="109" t="b">
        <v>0</v>
      </c>
      <c r="U15" s="196"/>
      <c r="V15" s="179"/>
      <c r="W15" s="4"/>
      <c r="X15" s="4"/>
    </row>
    <row r="16" spans="2:26" ht="21" x14ac:dyDescent="0.45">
      <c r="B16" s="227"/>
      <c r="C16" s="67"/>
      <c r="D16" s="67"/>
      <c r="E16" s="215"/>
      <c r="F16" s="24"/>
      <c r="G16" s="58"/>
      <c r="H16" s="18"/>
      <c r="I16" s="9"/>
      <c r="J16" s="9"/>
      <c r="K16" s="163"/>
      <c r="L16" s="205" t="s">
        <v>11</v>
      </c>
      <c r="M16" s="62"/>
      <c r="N16" s="62"/>
      <c r="O16" s="100"/>
      <c r="P16" s="20"/>
      <c r="Q16" s="116"/>
      <c r="R16" s="3" t="s">
        <v>57</v>
      </c>
      <c r="S16" s="42" t="s">
        <v>59</v>
      </c>
      <c r="T16" s="109" t="b">
        <v>0</v>
      </c>
      <c r="U16" s="196" t="str">
        <f>IF(T16=TRUE,"P",IF(T17=TRUE,"F",""))</f>
        <v/>
      </c>
      <c r="V16" s="179"/>
      <c r="W16" s="4"/>
      <c r="X16" s="4"/>
    </row>
    <row r="17" spans="2:24" ht="21" x14ac:dyDescent="0.45">
      <c r="B17" s="227"/>
      <c r="C17" s="67"/>
      <c r="D17" s="67"/>
      <c r="E17" s="216"/>
      <c r="F17" s="25"/>
      <c r="G17" s="59"/>
      <c r="H17" s="18"/>
      <c r="I17" s="13"/>
      <c r="J17" s="13"/>
      <c r="K17" s="162"/>
      <c r="L17" s="206"/>
      <c r="M17" s="63"/>
      <c r="N17" s="63"/>
      <c r="O17" s="99"/>
      <c r="P17" s="20"/>
      <c r="Q17" s="116"/>
      <c r="R17" s="3" t="s">
        <v>58</v>
      </c>
      <c r="S17" s="42" t="s">
        <v>60</v>
      </c>
      <c r="T17" s="109" t="b">
        <v>0</v>
      </c>
      <c r="U17" s="196"/>
      <c r="V17" s="179"/>
      <c r="W17" s="4"/>
      <c r="X17" s="4"/>
    </row>
    <row r="18" spans="2:24" ht="21" x14ac:dyDescent="0.45">
      <c r="B18" s="227"/>
      <c r="C18" s="67"/>
      <c r="D18" s="67"/>
      <c r="E18" s="233" t="s">
        <v>200</v>
      </c>
      <c r="F18" s="36"/>
      <c r="G18" s="60"/>
      <c r="H18" s="18"/>
      <c r="I18" s="9"/>
      <c r="J18" s="9"/>
      <c r="K18" s="163"/>
      <c r="L18" s="205" t="s">
        <v>12</v>
      </c>
      <c r="M18" s="62"/>
      <c r="N18" s="62"/>
      <c r="O18" s="100"/>
      <c r="P18" s="20"/>
      <c r="Q18" s="116"/>
      <c r="R18" s="3" t="s">
        <v>61</v>
      </c>
      <c r="S18" s="42" t="s">
        <v>59</v>
      </c>
      <c r="T18" s="109" t="b">
        <v>0</v>
      </c>
      <c r="U18" s="196" t="str">
        <f>IF(T18=TRUE,"P",IF(T19=TRUE,"F",""))</f>
        <v/>
      </c>
      <c r="V18" s="179"/>
      <c r="W18" s="4"/>
      <c r="X18" s="4"/>
    </row>
    <row r="19" spans="2:24" ht="21" x14ac:dyDescent="0.45">
      <c r="B19" s="227"/>
      <c r="C19" s="67"/>
      <c r="D19" s="67"/>
      <c r="E19" s="215"/>
      <c r="F19" s="24"/>
      <c r="G19" s="58"/>
      <c r="H19" s="19"/>
      <c r="I19" s="38"/>
      <c r="J19" s="38"/>
      <c r="K19" s="161"/>
      <c r="L19" s="206"/>
      <c r="M19" s="64"/>
      <c r="N19" s="64"/>
      <c r="O19" s="98"/>
      <c r="P19" s="21"/>
      <c r="Q19" s="116"/>
      <c r="R19" s="11" t="s">
        <v>62</v>
      </c>
      <c r="S19" s="42" t="s">
        <v>60</v>
      </c>
      <c r="T19" s="110" t="b">
        <v>0</v>
      </c>
      <c r="U19" s="196"/>
      <c r="V19" s="182"/>
      <c r="W19" s="9"/>
      <c r="X19" s="9"/>
    </row>
    <row r="20" spans="2:24" ht="21" x14ac:dyDescent="0.45">
      <c r="B20" s="227"/>
      <c r="C20" s="67"/>
      <c r="D20" s="67"/>
      <c r="E20" s="215"/>
      <c r="F20" s="24"/>
      <c r="G20" s="58"/>
      <c r="H20" s="18"/>
      <c r="I20" s="9"/>
      <c r="J20" s="9"/>
      <c r="K20" s="163"/>
      <c r="L20" s="205" t="s">
        <v>48</v>
      </c>
      <c r="M20" s="62"/>
      <c r="N20" s="62"/>
      <c r="O20" s="100"/>
      <c r="P20" s="20"/>
      <c r="Q20" s="116"/>
      <c r="R20" s="3" t="s">
        <v>63</v>
      </c>
      <c r="S20" s="42" t="s">
        <v>59</v>
      </c>
      <c r="T20" s="109" t="b">
        <v>0</v>
      </c>
      <c r="U20" s="196" t="str">
        <f>IF(T20=TRUE,"P",IF(T21=TRUE,"F",""))</f>
        <v/>
      </c>
      <c r="V20" s="179"/>
      <c r="W20" s="4"/>
      <c r="X20" s="4"/>
    </row>
    <row r="21" spans="2:24" ht="21.5" thickBot="1" x14ac:dyDescent="0.5">
      <c r="B21" s="228"/>
      <c r="C21" s="68"/>
      <c r="D21" s="68"/>
      <c r="E21" s="234"/>
      <c r="F21" s="50"/>
      <c r="G21" s="61"/>
      <c r="H21" s="51"/>
      <c r="I21" s="52"/>
      <c r="J21" s="52"/>
      <c r="K21" s="164"/>
      <c r="L21" s="235"/>
      <c r="M21" s="65"/>
      <c r="N21" s="65"/>
      <c r="O21" s="101"/>
      <c r="P21" s="53"/>
      <c r="Q21" s="117"/>
      <c r="R21" s="54" t="s">
        <v>64</v>
      </c>
      <c r="S21" s="55" t="s">
        <v>60</v>
      </c>
      <c r="T21" s="111" t="b">
        <v>0</v>
      </c>
      <c r="U21" s="197"/>
      <c r="V21" s="181"/>
      <c r="W21" s="56"/>
      <c r="X21" s="56"/>
    </row>
    <row r="22" spans="2:24" ht="21" x14ac:dyDescent="0.45">
      <c r="B22" s="236" t="s">
        <v>13</v>
      </c>
      <c r="C22" s="76">
        <v>40</v>
      </c>
      <c r="D22" s="77">
        <f>C22/100</f>
        <v>0.4</v>
      </c>
      <c r="E22" s="215" t="s">
        <v>101</v>
      </c>
      <c r="F22" s="24"/>
      <c r="G22" s="74">
        <f>D22*0.233</f>
        <v>9.3200000000000005E-2</v>
      </c>
      <c r="H22" s="215" t="s">
        <v>438</v>
      </c>
      <c r="I22" s="81"/>
      <c r="J22" s="132"/>
      <c r="K22" s="217" t="s">
        <v>445</v>
      </c>
      <c r="L22" s="238" t="s">
        <v>440</v>
      </c>
      <c r="M22" s="64"/>
      <c r="N22" s="58">
        <f>G22*0.217</f>
        <v>2.02244E-2</v>
      </c>
      <c r="O22" s="96"/>
      <c r="P22" s="22"/>
      <c r="Q22" s="116"/>
      <c r="R22" s="12" t="s">
        <v>65</v>
      </c>
      <c r="S22" s="45">
        <v>5</v>
      </c>
      <c r="T22" s="37" t="b">
        <v>0</v>
      </c>
      <c r="U22" s="85" cm="1">
        <f t="array" ref="U22">SUMPRODUCT(S22:S27,--T22:T27)</f>
        <v>0</v>
      </c>
      <c r="V22" s="85"/>
      <c r="W22" s="152">
        <f>U22/S22*N22*100</f>
        <v>0</v>
      </c>
      <c r="X22" s="5"/>
    </row>
    <row r="23" spans="2:24" ht="21" x14ac:dyDescent="0.45">
      <c r="B23" s="236"/>
      <c r="C23" s="67"/>
      <c r="D23" s="67"/>
      <c r="E23" s="215"/>
      <c r="F23" s="24"/>
      <c r="G23" s="74"/>
      <c r="H23" s="215"/>
      <c r="I23" s="72"/>
      <c r="J23" s="133"/>
      <c r="K23" s="218"/>
      <c r="L23" s="210"/>
      <c r="N23" s="58"/>
      <c r="O23" s="96"/>
      <c r="P23" s="22"/>
      <c r="Q23" s="116"/>
      <c r="R23" s="12" t="s">
        <v>66</v>
      </c>
      <c r="S23" s="45">
        <v>4</v>
      </c>
      <c r="T23" s="37" t="b">
        <v>0</v>
      </c>
      <c r="U23" s="86"/>
      <c r="V23" s="86"/>
      <c r="W23" s="153"/>
      <c r="X23" s="5"/>
    </row>
    <row r="24" spans="2:24" ht="21" x14ac:dyDescent="0.45">
      <c r="B24" s="236"/>
      <c r="C24" s="67"/>
      <c r="D24" s="67"/>
      <c r="E24" s="215"/>
      <c r="F24" s="24"/>
      <c r="G24" s="74"/>
      <c r="H24" s="215"/>
      <c r="I24" s="72"/>
      <c r="J24" s="133"/>
      <c r="K24" s="218"/>
      <c r="L24" s="210"/>
      <c r="M24" s="64"/>
      <c r="N24" s="58"/>
      <c r="O24" s="96"/>
      <c r="P24" s="22"/>
      <c r="Q24" s="116"/>
      <c r="R24" s="12" t="s">
        <v>67</v>
      </c>
      <c r="S24" s="45">
        <v>3</v>
      </c>
      <c r="T24" s="37" t="b">
        <v>0</v>
      </c>
      <c r="U24" s="86"/>
      <c r="V24" s="86"/>
      <c r="W24" s="153"/>
      <c r="X24" s="5"/>
    </row>
    <row r="25" spans="2:24" ht="21" x14ac:dyDescent="0.45">
      <c r="B25" s="236"/>
      <c r="C25" s="67"/>
      <c r="D25" s="67"/>
      <c r="E25" s="215"/>
      <c r="F25" s="24"/>
      <c r="G25" s="74"/>
      <c r="H25" s="215"/>
      <c r="I25" s="72"/>
      <c r="J25" s="133"/>
      <c r="K25" s="218"/>
      <c r="L25" s="210"/>
      <c r="M25" s="64"/>
      <c r="N25" s="58"/>
      <c r="O25" s="96"/>
      <c r="P25" s="22"/>
      <c r="Q25" s="116"/>
      <c r="R25" s="12" t="s">
        <v>68</v>
      </c>
      <c r="S25" s="45">
        <v>2</v>
      </c>
      <c r="T25" s="37" t="b">
        <v>0</v>
      </c>
      <c r="U25" s="86"/>
      <c r="V25" s="86"/>
      <c r="W25" s="153"/>
      <c r="X25" s="5"/>
    </row>
    <row r="26" spans="2:24" ht="21" x14ac:dyDescent="0.45">
      <c r="B26" s="236"/>
      <c r="C26" s="67"/>
      <c r="D26" s="67"/>
      <c r="E26" s="215"/>
      <c r="F26" s="24"/>
      <c r="G26" s="74"/>
      <c r="H26" s="215"/>
      <c r="I26" s="72"/>
      <c r="J26" s="133"/>
      <c r="K26" s="218"/>
      <c r="L26" s="210"/>
      <c r="M26" s="64"/>
      <c r="N26" s="58"/>
      <c r="O26" s="96"/>
      <c r="P26" s="22"/>
      <c r="Q26" s="116"/>
      <c r="R26" s="12" t="s">
        <v>69</v>
      </c>
      <c r="S26" s="45">
        <v>1</v>
      </c>
      <c r="T26" s="37" t="b">
        <v>0</v>
      </c>
      <c r="U26" s="86"/>
      <c r="V26" s="86"/>
      <c r="W26" s="153"/>
      <c r="X26" s="5"/>
    </row>
    <row r="27" spans="2:24" ht="21" x14ac:dyDescent="0.45">
      <c r="B27" s="236"/>
      <c r="C27" s="67"/>
      <c r="D27" s="67"/>
      <c r="E27" s="215"/>
      <c r="F27" s="24"/>
      <c r="G27" s="74"/>
      <c r="H27" s="215"/>
      <c r="I27" s="72"/>
      <c r="J27" s="133"/>
      <c r="K27" s="218"/>
      <c r="L27" s="206"/>
      <c r="M27" s="63"/>
      <c r="N27" s="59"/>
      <c r="O27" s="102"/>
      <c r="P27" s="22"/>
      <c r="Q27" s="116"/>
      <c r="R27" s="12" t="s">
        <v>70</v>
      </c>
      <c r="S27" s="45">
        <v>0</v>
      </c>
      <c r="T27" s="37" t="b">
        <v>0</v>
      </c>
      <c r="U27" s="87"/>
      <c r="V27" s="87"/>
      <c r="W27" s="154"/>
      <c r="X27" s="5"/>
    </row>
    <row r="28" spans="2:24" ht="21" x14ac:dyDescent="0.45">
      <c r="B28" s="236"/>
      <c r="C28" s="67"/>
      <c r="D28" s="67"/>
      <c r="E28" s="215"/>
      <c r="F28" s="24"/>
      <c r="G28" s="74"/>
      <c r="H28" s="215"/>
      <c r="I28" s="72"/>
      <c r="J28" s="133"/>
      <c r="K28" s="218"/>
      <c r="L28" s="205" t="s">
        <v>14</v>
      </c>
      <c r="M28" s="149"/>
      <c r="N28" s="58">
        <f>G22*0.123</f>
        <v>1.1463600000000001E-2</v>
      </c>
      <c r="O28" s="96"/>
      <c r="P28" s="22"/>
      <c r="Q28" s="116"/>
      <c r="R28" s="12" t="s">
        <v>71</v>
      </c>
      <c r="S28" s="45">
        <v>5</v>
      </c>
      <c r="T28" s="37" t="b">
        <v>0</v>
      </c>
      <c r="U28" s="84" cm="1">
        <f t="array" ref="U28">SUMPRODUCT(S28:S33,--T28:T33)</f>
        <v>0</v>
      </c>
      <c r="V28" s="85"/>
      <c r="W28" s="152">
        <f>U28/S28*N28*100</f>
        <v>0</v>
      </c>
      <c r="X28" s="5"/>
    </row>
    <row r="29" spans="2:24" ht="21" x14ac:dyDescent="0.45">
      <c r="B29" s="236"/>
      <c r="C29" s="67"/>
      <c r="D29" s="67"/>
      <c r="E29" s="215"/>
      <c r="F29" s="24"/>
      <c r="G29" s="74"/>
      <c r="H29" s="215"/>
      <c r="I29" s="72"/>
      <c r="J29" s="133"/>
      <c r="K29" s="218"/>
      <c r="L29" s="210"/>
      <c r="M29" s="64"/>
      <c r="N29" s="58"/>
      <c r="O29" s="96"/>
      <c r="P29" s="22"/>
      <c r="Q29" s="116"/>
      <c r="R29" s="12" t="s">
        <v>72</v>
      </c>
      <c r="S29" s="45">
        <v>4</v>
      </c>
      <c r="T29" s="37" t="b">
        <v>0</v>
      </c>
      <c r="U29" s="86"/>
      <c r="V29" s="86"/>
      <c r="W29" s="153"/>
      <c r="X29" s="5"/>
    </row>
    <row r="30" spans="2:24" ht="21" x14ac:dyDescent="0.45">
      <c r="B30" s="236"/>
      <c r="C30" s="67"/>
      <c r="D30" s="67"/>
      <c r="E30" s="215"/>
      <c r="F30" s="24"/>
      <c r="G30" s="74"/>
      <c r="H30" s="215"/>
      <c r="I30" s="72"/>
      <c r="J30" s="133"/>
      <c r="K30" s="218"/>
      <c r="L30" s="210"/>
      <c r="M30" s="64" t="s">
        <v>459</v>
      </c>
      <c r="N30" s="58">
        <f>G22*N28/(0.093-0.02)</f>
        <v>1.4635719452054797E-2</v>
      </c>
      <c r="O30" s="96"/>
      <c r="P30" s="22"/>
      <c r="Q30" s="116"/>
      <c r="R30" s="12" t="s">
        <v>73</v>
      </c>
      <c r="S30" s="45">
        <v>3</v>
      </c>
      <c r="T30" s="37" t="b">
        <v>0</v>
      </c>
      <c r="U30" s="86"/>
      <c r="V30" s="86"/>
      <c r="W30" s="153"/>
      <c r="X30" s="5"/>
    </row>
    <row r="31" spans="2:24" ht="21" x14ac:dyDescent="0.45">
      <c r="B31" s="236"/>
      <c r="C31" s="67"/>
      <c r="D31" s="67"/>
      <c r="E31" s="215"/>
      <c r="F31" s="24"/>
      <c r="G31" s="74"/>
      <c r="H31" s="215"/>
      <c r="I31" s="72"/>
      <c r="J31" s="133"/>
      <c r="K31" s="218"/>
      <c r="L31" s="210"/>
      <c r="M31" s="64"/>
      <c r="N31" s="58"/>
      <c r="O31" s="96"/>
      <c r="P31" s="22"/>
      <c r="Q31" s="116"/>
      <c r="R31" s="12" t="s">
        <v>74</v>
      </c>
      <c r="S31" s="45">
        <v>2</v>
      </c>
      <c r="T31" s="37" t="b">
        <v>0</v>
      </c>
      <c r="U31" s="86"/>
      <c r="V31" s="86"/>
      <c r="W31" s="153"/>
      <c r="X31" s="5"/>
    </row>
    <row r="32" spans="2:24" ht="21" x14ac:dyDescent="0.45">
      <c r="B32" s="236"/>
      <c r="C32" s="67"/>
      <c r="D32" s="67"/>
      <c r="E32" s="215"/>
      <c r="F32" s="24"/>
      <c r="G32" s="74"/>
      <c r="H32" s="215"/>
      <c r="I32" s="72"/>
      <c r="J32" s="133"/>
      <c r="K32" s="218"/>
      <c r="L32" s="210"/>
      <c r="M32" s="64"/>
      <c r="N32" s="58"/>
      <c r="O32" s="96"/>
      <c r="P32" s="22"/>
      <c r="Q32" s="116"/>
      <c r="R32" s="12" t="s">
        <v>75</v>
      </c>
      <c r="S32" s="45">
        <v>1</v>
      </c>
      <c r="T32" s="37" t="b">
        <v>0</v>
      </c>
      <c r="U32" s="86"/>
      <c r="V32" s="86"/>
      <c r="W32" s="153"/>
      <c r="X32" s="5"/>
    </row>
    <row r="33" spans="2:24" ht="21" x14ac:dyDescent="0.45">
      <c r="B33" s="236"/>
      <c r="C33" s="67"/>
      <c r="D33" s="67"/>
      <c r="E33" s="215"/>
      <c r="F33" s="24"/>
      <c r="G33" s="74"/>
      <c r="H33" s="215"/>
      <c r="I33" s="72"/>
      <c r="J33" s="133"/>
      <c r="K33" s="219"/>
      <c r="L33" s="206"/>
      <c r="M33" s="63"/>
      <c r="N33" s="59"/>
      <c r="O33" s="102"/>
      <c r="P33" s="22"/>
      <c r="Q33" s="116"/>
      <c r="R33" s="12" t="s">
        <v>76</v>
      </c>
      <c r="S33" s="45">
        <v>0</v>
      </c>
      <c r="T33" s="37" t="b">
        <v>0</v>
      </c>
      <c r="U33" s="87"/>
      <c r="V33" s="87"/>
      <c r="W33" s="154"/>
      <c r="X33" s="5"/>
    </row>
    <row r="34" spans="2:24" ht="21" x14ac:dyDescent="0.45">
      <c r="B34" s="236"/>
      <c r="C34" s="67"/>
      <c r="D34" s="67"/>
      <c r="E34" s="215"/>
      <c r="F34" s="24"/>
      <c r="G34" s="74"/>
      <c r="H34" s="215"/>
      <c r="I34" s="72"/>
      <c r="J34" s="133"/>
      <c r="K34" s="165"/>
      <c r="L34" s="211" t="s">
        <v>15</v>
      </c>
      <c r="M34" s="62"/>
      <c r="N34" s="58">
        <f>G22*0.154</f>
        <v>1.4352800000000001E-2</v>
      </c>
      <c r="O34" s="96"/>
      <c r="P34" s="20"/>
      <c r="Q34" s="116"/>
      <c r="R34" s="16" t="s">
        <v>77</v>
      </c>
      <c r="S34" s="42">
        <v>4</v>
      </c>
      <c r="T34" s="37" t="b">
        <v>0</v>
      </c>
      <c r="U34" s="84" cm="1">
        <f t="array" ref="U34">SUMPRODUCT(S34:S38,--T34:T38)</f>
        <v>0</v>
      </c>
      <c r="V34" s="85"/>
      <c r="W34" s="152">
        <f>U34/S34*N34*100</f>
        <v>0</v>
      </c>
      <c r="X34" s="7"/>
    </row>
    <row r="35" spans="2:24" ht="21" x14ac:dyDescent="0.45">
      <c r="B35" s="236"/>
      <c r="C35" s="67"/>
      <c r="D35" s="67"/>
      <c r="E35" s="215"/>
      <c r="F35" s="24"/>
      <c r="G35" s="74"/>
      <c r="H35" s="215"/>
      <c r="I35" s="72"/>
      <c r="J35" s="133"/>
      <c r="K35" s="166"/>
      <c r="L35" s="212"/>
      <c r="M35" s="64"/>
      <c r="N35" s="58"/>
      <c r="O35" s="96"/>
      <c r="P35" s="20"/>
      <c r="Q35" s="116"/>
      <c r="R35" s="16" t="s">
        <v>78</v>
      </c>
      <c r="S35" s="42">
        <v>3</v>
      </c>
      <c r="T35" s="37" t="b">
        <v>0</v>
      </c>
      <c r="U35" s="86"/>
      <c r="V35" s="86"/>
      <c r="W35" s="153"/>
      <c r="X35" s="7"/>
    </row>
    <row r="36" spans="2:24" ht="21" x14ac:dyDescent="0.45">
      <c r="B36" s="236"/>
      <c r="C36" s="67"/>
      <c r="D36" s="67"/>
      <c r="E36" s="215"/>
      <c r="F36" s="24"/>
      <c r="G36" s="74"/>
      <c r="H36" s="215"/>
      <c r="I36" s="72"/>
      <c r="J36" s="133"/>
      <c r="K36" s="166"/>
      <c r="L36" s="212"/>
      <c r="M36" s="64" t="s">
        <v>459</v>
      </c>
      <c r="N36" s="58">
        <f>G22*N34/(0.093-0.02)</f>
        <v>1.8324396712328772E-2</v>
      </c>
      <c r="O36" s="96"/>
      <c r="P36" s="20"/>
      <c r="Q36" s="116"/>
      <c r="R36" s="16" t="s">
        <v>79</v>
      </c>
      <c r="S36" s="42">
        <v>2</v>
      </c>
      <c r="T36" s="37" t="b">
        <v>0</v>
      </c>
      <c r="U36" s="86"/>
      <c r="V36" s="86"/>
      <c r="W36" s="153"/>
      <c r="X36" s="7"/>
    </row>
    <row r="37" spans="2:24" ht="21" x14ac:dyDescent="0.45">
      <c r="B37" s="236"/>
      <c r="C37" s="67"/>
      <c r="D37" s="67"/>
      <c r="E37" s="215"/>
      <c r="F37" s="24"/>
      <c r="G37" s="74"/>
      <c r="H37" s="215"/>
      <c r="I37" s="72"/>
      <c r="J37" s="133"/>
      <c r="K37" s="166"/>
      <c r="L37" s="212"/>
      <c r="M37" s="64"/>
      <c r="N37" s="58"/>
      <c r="O37" s="96"/>
      <c r="P37" s="20"/>
      <c r="Q37" s="116"/>
      <c r="R37" s="16" t="s">
        <v>80</v>
      </c>
      <c r="S37" s="42">
        <v>1</v>
      </c>
      <c r="T37" s="37" t="b">
        <v>0</v>
      </c>
      <c r="U37" s="86"/>
      <c r="V37" s="86"/>
      <c r="W37" s="153"/>
      <c r="X37" s="7"/>
    </row>
    <row r="38" spans="2:24" ht="21" x14ac:dyDescent="0.45">
      <c r="B38" s="236"/>
      <c r="C38" s="67"/>
      <c r="D38" s="67"/>
      <c r="E38" s="215"/>
      <c r="F38" s="24"/>
      <c r="G38" s="74"/>
      <c r="H38" s="215"/>
      <c r="I38" s="72"/>
      <c r="J38" s="133"/>
      <c r="K38" s="167"/>
      <c r="L38" s="213"/>
      <c r="M38" s="63"/>
      <c r="N38" s="59"/>
      <c r="O38" s="102"/>
      <c r="P38" s="20"/>
      <c r="Q38" s="116"/>
      <c r="R38" s="16" t="s">
        <v>81</v>
      </c>
      <c r="S38" s="42">
        <v>0</v>
      </c>
      <c r="T38" s="37" t="b">
        <v>0</v>
      </c>
      <c r="U38" s="87"/>
      <c r="V38" s="87"/>
      <c r="W38" s="154"/>
      <c r="X38" s="7"/>
    </row>
    <row r="39" spans="2:24" ht="21" x14ac:dyDescent="0.45">
      <c r="B39" s="236"/>
      <c r="C39" s="67"/>
      <c r="D39" s="67"/>
      <c r="E39" s="215"/>
      <c r="F39" s="24"/>
      <c r="G39" s="74"/>
      <c r="H39" s="215"/>
      <c r="I39" s="72"/>
      <c r="J39" s="133"/>
      <c r="K39" s="165"/>
      <c r="L39" s="211" t="s">
        <v>16</v>
      </c>
      <c r="M39" s="62"/>
      <c r="N39" s="58">
        <f>G22*0.126</f>
        <v>1.1743200000000001E-2</v>
      </c>
      <c r="O39" s="96"/>
      <c r="P39" s="20"/>
      <c r="Q39" s="116"/>
      <c r="R39" s="16" t="s">
        <v>82</v>
      </c>
      <c r="S39" s="42">
        <v>4</v>
      </c>
      <c r="T39" s="37" t="b">
        <v>0</v>
      </c>
      <c r="U39" s="84" cm="1">
        <f t="array" ref="U39">SUMPRODUCT(S39:S43,--T39:T43)</f>
        <v>0</v>
      </c>
      <c r="V39" s="85"/>
      <c r="W39" s="152">
        <f>U39/S39*N39*100</f>
        <v>0</v>
      </c>
      <c r="X39" s="7"/>
    </row>
    <row r="40" spans="2:24" ht="21" x14ac:dyDescent="0.45">
      <c r="B40" s="236"/>
      <c r="C40" s="67"/>
      <c r="D40" s="67"/>
      <c r="E40" s="215"/>
      <c r="F40" s="24"/>
      <c r="G40" s="74"/>
      <c r="H40" s="215"/>
      <c r="I40" s="72"/>
      <c r="J40" s="133"/>
      <c r="K40" s="166"/>
      <c r="L40" s="212"/>
      <c r="M40" s="64"/>
      <c r="N40" s="58"/>
      <c r="O40" s="96"/>
      <c r="P40" s="20"/>
      <c r="Q40" s="116"/>
      <c r="R40" s="16" t="s">
        <v>83</v>
      </c>
      <c r="S40" s="42">
        <v>3</v>
      </c>
      <c r="T40" s="37" t="b">
        <v>0</v>
      </c>
      <c r="U40" s="86"/>
      <c r="V40" s="86"/>
      <c r="W40" s="153"/>
      <c r="X40" s="7"/>
    </row>
    <row r="41" spans="2:24" ht="21" x14ac:dyDescent="0.45">
      <c r="B41" s="236"/>
      <c r="C41" s="67"/>
      <c r="D41" s="67"/>
      <c r="E41" s="215"/>
      <c r="F41" s="24"/>
      <c r="G41" s="74"/>
      <c r="H41" s="215"/>
      <c r="I41" s="72"/>
      <c r="J41" s="133"/>
      <c r="K41" s="166"/>
      <c r="L41" s="212"/>
      <c r="M41" s="64" t="s">
        <v>459</v>
      </c>
      <c r="N41" s="58">
        <f>G22*N39/(0.093-0.02)</f>
        <v>1.4992688219178082E-2</v>
      </c>
      <c r="O41" s="96"/>
      <c r="P41" s="20"/>
      <c r="Q41" s="116"/>
      <c r="R41" s="16" t="s">
        <v>84</v>
      </c>
      <c r="S41" s="42">
        <v>2</v>
      </c>
      <c r="T41" s="37" t="b">
        <v>0</v>
      </c>
      <c r="U41" s="86"/>
      <c r="V41" s="86"/>
      <c r="W41" s="153"/>
      <c r="X41" s="7"/>
    </row>
    <row r="42" spans="2:24" ht="21" x14ac:dyDescent="0.45">
      <c r="B42" s="236"/>
      <c r="C42" s="67"/>
      <c r="D42" s="67"/>
      <c r="E42" s="215"/>
      <c r="F42" s="24"/>
      <c r="G42" s="74"/>
      <c r="H42" s="215"/>
      <c r="I42" s="72"/>
      <c r="J42" s="133"/>
      <c r="K42" s="166"/>
      <c r="L42" s="212"/>
      <c r="M42" s="64"/>
      <c r="N42" s="58"/>
      <c r="O42" s="96"/>
      <c r="P42" s="20"/>
      <c r="Q42" s="116"/>
      <c r="R42" s="16" t="s">
        <v>85</v>
      </c>
      <c r="S42" s="42">
        <v>1</v>
      </c>
      <c r="T42" s="37" t="b">
        <v>0</v>
      </c>
      <c r="U42" s="86"/>
      <c r="V42" s="86"/>
      <c r="W42" s="153"/>
      <c r="X42" s="7"/>
    </row>
    <row r="43" spans="2:24" ht="21" x14ac:dyDescent="0.45">
      <c r="B43" s="236"/>
      <c r="C43" s="67"/>
      <c r="D43" s="67"/>
      <c r="E43" s="215"/>
      <c r="F43" s="24"/>
      <c r="G43" s="74"/>
      <c r="H43" s="216"/>
      <c r="I43" s="73"/>
      <c r="J43" s="133"/>
      <c r="K43" s="167"/>
      <c r="L43" s="213"/>
      <c r="M43" s="63"/>
      <c r="N43" s="59"/>
      <c r="O43" s="102"/>
      <c r="P43" s="20"/>
      <c r="Q43" s="116"/>
      <c r="R43" s="16" t="s">
        <v>86</v>
      </c>
      <c r="S43" s="42">
        <v>0</v>
      </c>
      <c r="T43" s="37" t="b">
        <v>0</v>
      </c>
      <c r="U43" s="87"/>
      <c r="V43" s="87"/>
      <c r="W43" s="154"/>
      <c r="X43" s="7"/>
    </row>
    <row r="44" spans="2:24" ht="21" x14ac:dyDescent="0.45">
      <c r="B44" s="236"/>
      <c r="C44" s="67"/>
      <c r="D44" s="67"/>
      <c r="E44" s="215"/>
      <c r="F44" s="24"/>
      <c r="G44" s="74"/>
      <c r="H44" s="215" t="s">
        <v>437</v>
      </c>
      <c r="I44" s="82"/>
      <c r="J44" s="134"/>
      <c r="K44" s="220" t="s">
        <v>439</v>
      </c>
      <c r="L44" s="214" t="s">
        <v>441</v>
      </c>
      <c r="M44" s="62"/>
      <c r="N44" s="58">
        <f>G22*0.198</f>
        <v>1.8453600000000001E-2</v>
      </c>
      <c r="O44" s="96"/>
      <c r="P44" s="222" t="s">
        <v>17</v>
      </c>
      <c r="Q44" s="118">
        <f>N44*0.5</f>
        <v>9.2268000000000003E-3</v>
      </c>
      <c r="R44" s="184" t="s">
        <v>478</v>
      </c>
      <c r="S44" s="42">
        <v>4</v>
      </c>
      <c r="T44" s="37" t="b">
        <v>0</v>
      </c>
      <c r="U44" s="84" cm="1">
        <f t="array" ref="U44">SUMPRODUCT(S44:S48,--T44:T48)</f>
        <v>0</v>
      </c>
      <c r="V44" s="85"/>
      <c r="W44" s="152">
        <f>U44/S44*Q44*100</f>
        <v>0</v>
      </c>
      <c r="X44" s="7"/>
    </row>
    <row r="45" spans="2:24" ht="21" x14ac:dyDescent="0.45">
      <c r="B45" s="236"/>
      <c r="C45" s="67"/>
      <c r="D45" s="67"/>
      <c r="E45" s="215"/>
      <c r="F45" s="24"/>
      <c r="G45" s="74"/>
      <c r="H45" s="215"/>
      <c r="I45" s="72"/>
      <c r="J45" s="135"/>
      <c r="K45" s="220"/>
      <c r="L45" s="210"/>
      <c r="M45" s="64"/>
      <c r="N45" s="58"/>
      <c r="O45" s="96"/>
      <c r="P45" s="223"/>
      <c r="Q45" s="119">
        <f>N46*0.5</f>
        <v>1.1779969315068495E-2</v>
      </c>
      <c r="R45" s="184" t="s">
        <v>476</v>
      </c>
      <c r="S45" s="42">
        <v>3</v>
      </c>
      <c r="T45" s="37" t="b">
        <v>0</v>
      </c>
      <c r="U45" s="86"/>
      <c r="V45" s="86"/>
      <c r="W45" s="153"/>
      <c r="X45" s="7"/>
    </row>
    <row r="46" spans="2:24" ht="21" x14ac:dyDescent="0.45">
      <c r="B46" s="236"/>
      <c r="C46" s="67"/>
      <c r="D46" s="67"/>
      <c r="E46" s="215"/>
      <c r="F46" s="24"/>
      <c r="G46" s="74"/>
      <c r="H46" s="215"/>
      <c r="I46" s="72"/>
      <c r="J46" s="135"/>
      <c r="K46" s="220"/>
      <c r="L46" s="210"/>
      <c r="M46" s="64" t="s">
        <v>459</v>
      </c>
      <c r="N46" s="58">
        <f>G22*N44/(0.093-0.02)</f>
        <v>2.355993863013699E-2</v>
      </c>
      <c r="O46" s="96"/>
      <c r="P46" s="223"/>
      <c r="Q46" s="119"/>
      <c r="R46" s="184" t="s">
        <v>475</v>
      </c>
      <c r="S46" s="42">
        <v>2</v>
      </c>
      <c r="T46" s="37" t="b">
        <v>0</v>
      </c>
      <c r="U46" s="86"/>
      <c r="V46" s="86"/>
      <c r="W46" s="153"/>
      <c r="X46" s="7"/>
    </row>
    <row r="47" spans="2:24" ht="21" x14ac:dyDescent="0.45">
      <c r="B47" s="236"/>
      <c r="C47" s="67"/>
      <c r="D47" s="67"/>
      <c r="E47" s="215"/>
      <c r="F47" s="24"/>
      <c r="G47" s="74"/>
      <c r="H47" s="215"/>
      <c r="I47" s="72"/>
      <c r="J47" s="135"/>
      <c r="K47" s="220"/>
      <c r="L47" s="210"/>
      <c r="M47" s="64"/>
      <c r="N47" s="58"/>
      <c r="O47" s="96"/>
      <c r="P47" s="223"/>
      <c r="Q47" s="119"/>
      <c r="R47" s="184" t="s">
        <v>477</v>
      </c>
      <c r="S47" s="42">
        <v>1</v>
      </c>
      <c r="T47" s="37" t="b">
        <v>0</v>
      </c>
      <c r="U47" s="86"/>
      <c r="V47" s="86"/>
      <c r="W47" s="153"/>
      <c r="X47" s="7"/>
    </row>
    <row r="48" spans="2:24" ht="21" x14ac:dyDescent="0.45">
      <c r="B48" s="236"/>
      <c r="C48" s="67"/>
      <c r="D48" s="67"/>
      <c r="E48" s="215"/>
      <c r="F48" s="24"/>
      <c r="G48" s="74"/>
      <c r="H48" s="215"/>
      <c r="I48" s="72"/>
      <c r="J48" s="135"/>
      <c r="K48" s="220"/>
      <c r="L48" s="210"/>
      <c r="M48" s="64"/>
      <c r="N48" s="58"/>
      <c r="O48" s="96"/>
      <c r="P48" s="224"/>
      <c r="Q48" s="120"/>
      <c r="R48" s="16" t="s">
        <v>94</v>
      </c>
      <c r="S48" s="42">
        <v>0</v>
      </c>
      <c r="T48" s="37" t="b">
        <v>0</v>
      </c>
      <c r="U48" s="86"/>
      <c r="V48" s="86"/>
      <c r="W48" s="153"/>
      <c r="X48" s="7"/>
    </row>
    <row r="49" spans="2:24" ht="21" x14ac:dyDescent="0.45">
      <c r="B49" s="236"/>
      <c r="C49" s="67"/>
      <c r="D49" s="67"/>
      <c r="E49" s="215"/>
      <c r="F49" s="24"/>
      <c r="G49" s="74"/>
      <c r="H49" s="215"/>
      <c r="I49" s="72"/>
      <c r="J49" s="135"/>
      <c r="K49" s="220"/>
      <c r="L49" s="210"/>
      <c r="M49" s="64"/>
      <c r="N49" s="58"/>
      <c r="O49" s="96"/>
      <c r="P49" s="198" t="s">
        <v>18</v>
      </c>
      <c r="Q49" s="118">
        <f>N44*0.5</f>
        <v>9.2268000000000003E-3</v>
      </c>
      <c r="R49" s="16" t="s">
        <v>88</v>
      </c>
      <c r="S49" s="42">
        <v>4</v>
      </c>
      <c r="T49" s="37" t="b">
        <v>0</v>
      </c>
      <c r="U49" s="84" cm="1">
        <f t="array" ref="U49">SUMPRODUCT(S49:S53,--T49:T53)</f>
        <v>0</v>
      </c>
      <c r="V49" s="85"/>
      <c r="W49" s="152">
        <f>U49/S49*Q49*100</f>
        <v>0</v>
      </c>
      <c r="X49" s="7"/>
    </row>
    <row r="50" spans="2:24" ht="21" x14ac:dyDescent="0.45">
      <c r="B50" s="236"/>
      <c r="C50" s="67"/>
      <c r="D50" s="67"/>
      <c r="E50" s="215"/>
      <c r="F50" s="24"/>
      <c r="G50" s="74"/>
      <c r="H50" s="215"/>
      <c r="I50" s="72"/>
      <c r="J50" s="135"/>
      <c r="K50" s="220"/>
      <c r="L50" s="210"/>
      <c r="M50" s="64"/>
      <c r="N50" s="58"/>
      <c r="O50" s="96"/>
      <c r="P50" s="199"/>
      <c r="Q50" s="119">
        <f>N46*0.5</f>
        <v>1.1779969315068495E-2</v>
      </c>
      <c r="R50" s="16" t="s">
        <v>89</v>
      </c>
      <c r="S50" s="42">
        <v>3</v>
      </c>
      <c r="T50" s="37" t="b">
        <v>0</v>
      </c>
      <c r="U50" s="91"/>
      <c r="V50" s="91"/>
      <c r="W50" s="155"/>
      <c r="X50" s="7"/>
    </row>
    <row r="51" spans="2:24" ht="21" x14ac:dyDescent="0.45">
      <c r="B51" s="236"/>
      <c r="C51" s="67"/>
      <c r="D51" s="67"/>
      <c r="E51" s="215"/>
      <c r="F51" s="24"/>
      <c r="G51" s="74"/>
      <c r="H51" s="215"/>
      <c r="I51" s="72"/>
      <c r="J51" s="135"/>
      <c r="K51" s="220"/>
      <c r="L51" s="210"/>
      <c r="M51" s="64"/>
      <c r="N51" s="58"/>
      <c r="O51" s="96"/>
      <c r="P51" s="199"/>
      <c r="Q51" s="114"/>
      <c r="R51" s="16" t="s">
        <v>90</v>
      </c>
      <c r="S51" s="42">
        <v>2</v>
      </c>
      <c r="T51" s="37" t="b">
        <v>0</v>
      </c>
      <c r="U51" s="86"/>
      <c r="V51" s="86"/>
      <c r="W51" s="153"/>
      <c r="X51" s="7"/>
    </row>
    <row r="52" spans="2:24" ht="21" x14ac:dyDescent="0.45">
      <c r="B52" s="236"/>
      <c r="C52" s="67"/>
      <c r="D52" s="67"/>
      <c r="E52" s="215"/>
      <c r="F52" s="24"/>
      <c r="G52" s="74"/>
      <c r="H52" s="215"/>
      <c r="I52" s="72"/>
      <c r="J52" s="135"/>
      <c r="K52" s="220"/>
      <c r="L52" s="210"/>
      <c r="M52" s="64"/>
      <c r="N52" s="58"/>
      <c r="O52" s="96"/>
      <c r="P52" s="199"/>
      <c r="Q52" s="114"/>
      <c r="R52" s="16" t="s">
        <v>91</v>
      </c>
      <c r="S52" s="42">
        <v>1</v>
      </c>
      <c r="T52" s="37" t="b">
        <v>0</v>
      </c>
      <c r="U52" s="86"/>
      <c r="V52" s="86"/>
      <c r="W52" s="153"/>
      <c r="X52" s="7"/>
    </row>
    <row r="53" spans="2:24" ht="21" x14ac:dyDescent="0.45">
      <c r="B53" s="236"/>
      <c r="C53" s="67"/>
      <c r="D53" s="67"/>
      <c r="E53" s="215"/>
      <c r="F53" s="24"/>
      <c r="G53" s="74"/>
      <c r="H53" s="215"/>
      <c r="I53" s="72"/>
      <c r="J53" s="135"/>
      <c r="K53" s="220"/>
      <c r="L53" s="206"/>
      <c r="M53" s="150"/>
      <c r="N53" s="59"/>
      <c r="O53" s="102"/>
      <c r="P53" s="200"/>
      <c r="Q53" s="115"/>
      <c r="R53" s="16" t="s">
        <v>87</v>
      </c>
      <c r="S53" s="42">
        <v>0</v>
      </c>
      <c r="T53" s="37" t="b">
        <v>0</v>
      </c>
      <c r="U53" s="87"/>
      <c r="V53" s="87"/>
      <c r="W53" s="154"/>
      <c r="X53" s="7"/>
    </row>
    <row r="54" spans="2:24" ht="21" x14ac:dyDescent="0.45">
      <c r="B54" s="236"/>
      <c r="C54" s="67"/>
      <c r="D54" s="67"/>
      <c r="E54" s="215"/>
      <c r="F54" s="24"/>
      <c r="G54" s="74"/>
      <c r="H54" s="215"/>
      <c r="I54" s="72"/>
      <c r="J54" s="135"/>
      <c r="K54" s="220"/>
      <c r="L54" s="205" t="s">
        <v>19</v>
      </c>
      <c r="M54" s="62"/>
      <c r="N54" s="58">
        <f>G22*0.182</f>
        <v>1.6962399999999999E-2</v>
      </c>
      <c r="O54" s="96"/>
      <c r="P54" s="20"/>
      <c r="Q54" s="116"/>
      <c r="R54" s="16" t="s">
        <v>95</v>
      </c>
      <c r="S54" s="42">
        <v>5</v>
      </c>
      <c r="T54" s="37" t="b">
        <v>0</v>
      </c>
      <c r="U54" s="84" cm="1">
        <f t="array" ref="U54">SUMPRODUCT(S54:S59,--T54:T59)</f>
        <v>0</v>
      </c>
      <c r="V54" s="85"/>
      <c r="W54" s="152">
        <f>U54/S54*N54*100</f>
        <v>0</v>
      </c>
      <c r="X54" s="7"/>
    </row>
    <row r="55" spans="2:24" ht="21" x14ac:dyDescent="0.45">
      <c r="B55" s="236"/>
      <c r="C55" s="67"/>
      <c r="D55" s="67"/>
      <c r="E55" s="215"/>
      <c r="F55" s="24"/>
      <c r="G55" s="74"/>
      <c r="H55" s="215"/>
      <c r="I55" s="72"/>
      <c r="J55" s="135"/>
      <c r="K55" s="220"/>
      <c r="L55" s="210"/>
      <c r="M55" s="64"/>
      <c r="N55" s="58"/>
      <c r="O55" s="96"/>
      <c r="P55" s="20"/>
      <c r="Q55" s="116"/>
      <c r="R55" s="16" t="s">
        <v>96</v>
      </c>
      <c r="S55" s="42">
        <v>4</v>
      </c>
      <c r="T55" s="37" t="b">
        <v>0</v>
      </c>
      <c r="U55" s="86"/>
      <c r="V55" s="86"/>
      <c r="W55" s="153"/>
      <c r="X55" s="7"/>
    </row>
    <row r="56" spans="2:24" ht="21" x14ac:dyDescent="0.45">
      <c r="B56" s="236"/>
      <c r="C56" s="67"/>
      <c r="D56" s="67"/>
      <c r="E56" s="215"/>
      <c r="F56" s="24"/>
      <c r="G56" s="74"/>
      <c r="H56" s="215"/>
      <c r="I56" s="72"/>
      <c r="J56" s="135"/>
      <c r="K56" s="220"/>
      <c r="L56" s="210"/>
      <c r="M56" s="64" t="s">
        <v>459</v>
      </c>
      <c r="N56" s="58">
        <f>G22*N54/(0.093-0.02)</f>
        <v>2.1656105205479455E-2</v>
      </c>
      <c r="O56" s="96"/>
      <c r="P56" s="20"/>
      <c r="Q56" s="116"/>
      <c r="R56" s="16" t="s">
        <v>97</v>
      </c>
      <c r="S56" s="42">
        <v>3</v>
      </c>
      <c r="T56" s="37" t="b">
        <v>0</v>
      </c>
      <c r="U56" s="86"/>
      <c r="V56" s="86"/>
      <c r="W56" s="153"/>
      <c r="X56" s="7"/>
    </row>
    <row r="57" spans="2:24" ht="21" x14ac:dyDescent="0.45">
      <c r="B57" s="236"/>
      <c r="C57" s="67"/>
      <c r="D57" s="67"/>
      <c r="E57" s="215"/>
      <c r="F57" s="24"/>
      <c r="G57" s="74"/>
      <c r="H57" s="215"/>
      <c r="I57" s="72"/>
      <c r="J57" s="135"/>
      <c r="K57" s="220"/>
      <c r="L57" s="210"/>
      <c r="M57" s="64"/>
      <c r="N57" s="58"/>
      <c r="O57" s="96"/>
      <c r="P57" s="20"/>
      <c r="Q57" s="116"/>
      <c r="R57" s="16" t="s">
        <v>98</v>
      </c>
      <c r="S57" s="42">
        <v>2</v>
      </c>
      <c r="T57" s="37" t="b">
        <v>0</v>
      </c>
      <c r="U57" s="86"/>
      <c r="V57" s="86"/>
      <c r="W57" s="153"/>
      <c r="X57" s="7"/>
    </row>
    <row r="58" spans="2:24" ht="21" x14ac:dyDescent="0.45">
      <c r="B58" s="236"/>
      <c r="C58" s="67"/>
      <c r="D58" s="67"/>
      <c r="E58" s="215"/>
      <c r="F58" s="24"/>
      <c r="G58" s="74"/>
      <c r="H58" s="215"/>
      <c r="I58" s="72"/>
      <c r="J58" s="135"/>
      <c r="K58" s="220"/>
      <c r="L58" s="210"/>
      <c r="M58" s="64"/>
      <c r="N58" s="58"/>
      <c r="O58" s="96"/>
      <c r="P58" s="20"/>
      <c r="Q58" s="116"/>
      <c r="R58" s="16" t="s">
        <v>99</v>
      </c>
      <c r="S58" s="42">
        <v>1</v>
      </c>
      <c r="T58" s="37" t="b">
        <v>0</v>
      </c>
      <c r="U58" s="86"/>
      <c r="V58" s="86"/>
      <c r="W58" s="153"/>
      <c r="X58" s="7"/>
    </row>
    <row r="59" spans="2:24" ht="21" x14ac:dyDescent="0.45">
      <c r="B59" s="236"/>
      <c r="C59" s="67"/>
      <c r="D59" s="67"/>
      <c r="E59" s="216"/>
      <c r="F59" s="25"/>
      <c r="G59" s="75"/>
      <c r="H59" s="216"/>
      <c r="I59" s="73"/>
      <c r="J59" s="136"/>
      <c r="K59" s="221"/>
      <c r="L59" s="206"/>
      <c r="M59" s="63"/>
      <c r="N59" s="59"/>
      <c r="O59" s="102"/>
      <c r="P59" s="20"/>
      <c r="Q59" s="116"/>
      <c r="R59" s="16" t="s">
        <v>100</v>
      </c>
      <c r="S59" s="42">
        <v>0</v>
      </c>
      <c r="T59" s="37" t="b">
        <v>0</v>
      </c>
      <c r="U59" s="87"/>
      <c r="V59" s="87"/>
      <c r="W59" s="154"/>
      <c r="X59" s="7"/>
    </row>
    <row r="60" spans="2:24" ht="21" x14ac:dyDescent="0.45">
      <c r="B60" s="236"/>
      <c r="C60" s="67"/>
      <c r="D60" s="67"/>
      <c r="E60" s="232" t="s">
        <v>116</v>
      </c>
      <c r="F60" s="23"/>
      <c r="G60" s="74">
        <f>D22*0.333</f>
        <v>0.13320000000000001</v>
      </c>
      <c r="H60" s="26"/>
      <c r="I60" s="23"/>
      <c r="J60" s="137"/>
      <c r="K60" s="168"/>
      <c r="L60" s="205" t="s">
        <v>20</v>
      </c>
      <c r="M60" s="62"/>
      <c r="N60" s="58">
        <f>G60*0.578</f>
        <v>7.6989600000000005E-2</v>
      </c>
      <c r="O60" s="96"/>
      <c r="P60" s="20"/>
      <c r="Q60" s="116"/>
      <c r="R60" s="16" t="s">
        <v>102</v>
      </c>
      <c r="S60" s="42">
        <v>5</v>
      </c>
      <c r="T60" s="37" t="b">
        <v>0</v>
      </c>
      <c r="U60" s="84" cm="1">
        <f t="array" ref="U60">SUMPRODUCT(S60:S65,--T60:T65)</f>
        <v>0</v>
      </c>
      <c r="V60" s="85"/>
      <c r="W60" s="152">
        <f>U60/S60*N60*100</f>
        <v>0</v>
      </c>
      <c r="X60" s="7"/>
    </row>
    <row r="61" spans="2:24" ht="21" x14ac:dyDescent="0.45">
      <c r="B61" s="236"/>
      <c r="C61" s="67"/>
      <c r="D61" s="67"/>
      <c r="E61" s="215"/>
      <c r="F61" s="24"/>
      <c r="G61" s="58"/>
      <c r="H61" s="26"/>
      <c r="I61" s="24"/>
      <c r="J61" s="138"/>
      <c r="K61" s="169"/>
      <c r="L61" s="210"/>
      <c r="M61" s="64"/>
      <c r="N61" s="64"/>
      <c r="O61" s="98"/>
      <c r="P61" s="20"/>
      <c r="Q61" s="116"/>
      <c r="R61" s="16" t="s">
        <v>103</v>
      </c>
      <c r="S61" s="42">
        <v>4</v>
      </c>
      <c r="T61" s="37" t="b">
        <v>0</v>
      </c>
      <c r="U61" s="86"/>
      <c r="V61" s="86"/>
      <c r="W61" s="156"/>
      <c r="X61" s="7"/>
    </row>
    <row r="62" spans="2:24" ht="21" x14ac:dyDescent="0.45">
      <c r="B62" s="236"/>
      <c r="C62" s="67"/>
      <c r="D62" s="67"/>
      <c r="E62" s="215"/>
      <c r="F62" s="24"/>
      <c r="G62" s="58"/>
      <c r="H62" s="26"/>
      <c r="I62" s="24"/>
      <c r="J62" s="138"/>
      <c r="K62" s="169"/>
      <c r="L62" s="210"/>
      <c r="M62" s="64"/>
      <c r="N62" s="64"/>
      <c r="O62" s="98"/>
      <c r="P62" s="20"/>
      <c r="Q62" s="116"/>
      <c r="R62" s="16" t="s">
        <v>104</v>
      </c>
      <c r="S62" s="42">
        <v>3</v>
      </c>
      <c r="T62" s="37" t="b">
        <v>0</v>
      </c>
      <c r="U62" s="86"/>
      <c r="V62" s="86"/>
      <c r="W62" s="153"/>
      <c r="X62" s="7"/>
    </row>
    <row r="63" spans="2:24" ht="21" x14ac:dyDescent="0.45">
      <c r="B63" s="236"/>
      <c r="C63" s="67"/>
      <c r="D63" s="67"/>
      <c r="E63" s="215"/>
      <c r="F63" s="24"/>
      <c r="G63" s="58"/>
      <c r="H63" s="26"/>
      <c r="I63" s="24"/>
      <c r="J63" s="138"/>
      <c r="K63" s="169"/>
      <c r="L63" s="210"/>
      <c r="M63" s="64"/>
      <c r="N63" s="64"/>
      <c r="O63" s="98"/>
      <c r="P63" s="20"/>
      <c r="Q63" s="116"/>
      <c r="R63" s="16" t="s">
        <v>105</v>
      </c>
      <c r="S63" s="42">
        <v>2</v>
      </c>
      <c r="T63" s="37" t="b">
        <v>0</v>
      </c>
      <c r="U63" s="86"/>
      <c r="V63" s="86"/>
      <c r="W63" s="153"/>
      <c r="X63" s="7"/>
    </row>
    <row r="64" spans="2:24" ht="21" x14ac:dyDescent="0.45">
      <c r="B64" s="236"/>
      <c r="C64" s="67"/>
      <c r="D64" s="67"/>
      <c r="E64" s="215"/>
      <c r="F64" s="24"/>
      <c r="G64" s="58"/>
      <c r="H64" s="26"/>
      <c r="I64" s="24"/>
      <c r="J64" s="138"/>
      <c r="K64" s="169"/>
      <c r="L64" s="210"/>
      <c r="M64" s="64"/>
      <c r="N64" s="64"/>
      <c r="O64" s="98"/>
      <c r="P64" s="20"/>
      <c r="Q64" s="116"/>
      <c r="R64" s="16" t="s">
        <v>106</v>
      </c>
      <c r="S64" s="42">
        <v>1</v>
      </c>
      <c r="T64" s="37" t="b">
        <v>0</v>
      </c>
      <c r="U64" s="86"/>
      <c r="V64" s="86"/>
      <c r="W64" s="153"/>
      <c r="X64" s="7"/>
    </row>
    <row r="65" spans="2:24" ht="21" x14ac:dyDescent="0.45">
      <c r="B65" s="236"/>
      <c r="C65" s="67"/>
      <c r="D65" s="67"/>
      <c r="E65" s="215"/>
      <c r="F65" s="24"/>
      <c r="G65" s="58"/>
      <c r="H65" s="26"/>
      <c r="I65" s="25"/>
      <c r="J65" s="139"/>
      <c r="K65" s="170"/>
      <c r="L65" s="206"/>
      <c r="M65" s="63"/>
      <c r="N65" s="63"/>
      <c r="O65" s="99"/>
      <c r="P65" s="20"/>
      <c r="Q65" s="116"/>
      <c r="R65" s="16" t="s">
        <v>107</v>
      </c>
      <c r="S65" s="42">
        <v>0</v>
      </c>
      <c r="T65" s="37" t="b">
        <v>0</v>
      </c>
      <c r="U65" s="87"/>
      <c r="V65" s="87"/>
      <c r="W65" s="154"/>
      <c r="X65" s="7"/>
    </row>
    <row r="66" spans="2:24" ht="21" x14ac:dyDescent="0.45">
      <c r="B66" s="236"/>
      <c r="C66" s="67"/>
      <c r="D66" s="67"/>
      <c r="E66" s="215"/>
      <c r="F66" s="24"/>
      <c r="G66" s="58"/>
      <c r="H66" s="26"/>
      <c r="I66" s="23"/>
      <c r="J66" s="137"/>
      <c r="K66" s="168"/>
      <c r="L66" s="205" t="s">
        <v>21</v>
      </c>
      <c r="M66" s="62"/>
      <c r="N66" s="58">
        <f>G60*0.422</f>
        <v>5.6210400000000001E-2</v>
      </c>
      <c r="O66" s="96"/>
      <c r="P66" s="20"/>
      <c r="Q66" s="116"/>
      <c r="R66" s="16" t="s">
        <v>108</v>
      </c>
      <c r="S66" s="42">
        <v>7</v>
      </c>
      <c r="T66" s="37" t="b">
        <v>0</v>
      </c>
      <c r="U66" s="84" cm="1">
        <f t="array" ref="U66">SUMPRODUCT(S66:S73,--T66:T73)</f>
        <v>0</v>
      </c>
      <c r="V66" s="85"/>
      <c r="W66" s="152">
        <f>U66/S66*N66*100</f>
        <v>0</v>
      </c>
      <c r="X66" s="7"/>
    </row>
    <row r="67" spans="2:24" ht="21" x14ac:dyDescent="0.45">
      <c r="B67" s="236"/>
      <c r="C67" s="67"/>
      <c r="D67" s="67"/>
      <c r="E67" s="215"/>
      <c r="F67" s="24"/>
      <c r="G67" s="58"/>
      <c r="H67" s="26"/>
      <c r="I67" s="24"/>
      <c r="J67" s="138"/>
      <c r="K67" s="169"/>
      <c r="L67" s="210"/>
      <c r="M67" s="64"/>
      <c r="N67" s="64"/>
      <c r="O67" s="98"/>
      <c r="P67" s="20"/>
      <c r="Q67" s="116"/>
      <c r="R67" s="16" t="s">
        <v>109</v>
      </c>
      <c r="S67" s="42">
        <v>6</v>
      </c>
      <c r="T67" s="37" t="b">
        <v>0</v>
      </c>
      <c r="U67" s="86"/>
      <c r="V67" s="86"/>
      <c r="W67" s="156"/>
      <c r="X67" s="7"/>
    </row>
    <row r="68" spans="2:24" ht="21" x14ac:dyDescent="0.45">
      <c r="B68" s="236"/>
      <c r="C68" s="67"/>
      <c r="D68" s="67"/>
      <c r="E68" s="215"/>
      <c r="F68" s="24"/>
      <c r="G68" s="58"/>
      <c r="H68" s="26"/>
      <c r="I68" s="24"/>
      <c r="J68" s="138"/>
      <c r="K68" s="169"/>
      <c r="L68" s="210"/>
      <c r="M68" s="64"/>
      <c r="N68" s="64"/>
      <c r="O68" s="98"/>
      <c r="P68" s="20"/>
      <c r="Q68" s="116"/>
      <c r="R68" s="16" t="s">
        <v>110</v>
      </c>
      <c r="S68" s="42">
        <v>5</v>
      </c>
      <c r="T68" s="37" t="b">
        <v>0</v>
      </c>
      <c r="U68" s="86"/>
      <c r="V68" s="86"/>
      <c r="W68" s="153"/>
      <c r="X68" s="7"/>
    </row>
    <row r="69" spans="2:24" ht="21" x14ac:dyDescent="0.45">
      <c r="B69" s="236"/>
      <c r="C69" s="67"/>
      <c r="D69" s="67"/>
      <c r="E69" s="215"/>
      <c r="F69" s="24"/>
      <c r="G69" s="58"/>
      <c r="H69" s="26"/>
      <c r="I69" s="24"/>
      <c r="J69" s="138"/>
      <c r="K69" s="169"/>
      <c r="L69" s="210"/>
      <c r="M69" s="64"/>
      <c r="N69" s="64"/>
      <c r="O69" s="98"/>
      <c r="P69" s="20"/>
      <c r="Q69" s="116"/>
      <c r="R69" s="16" t="s">
        <v>111</v>
      </c>
      <c r="S69" s="42">
        <v>4</v>
      </c>
      <c r="T69" s="37" t="b">
        <v>0</v>
      </c>
      <c r="U69" s="86"/>
      <c r="V69" s="86"/>
      <c r="W69" s="153"/>
      <c r="X69" s="7"/>
    </row>
    <row r="70" spans="2:24" ht="21" x14ac:dyDescent="0.45">
      <c r="B70" s="236"/>
      <c r="C70" s="67"/>
      <c r="D70" s="67"/>
      <c r="E70" s="215"/>
      <c r="F70" s="24"/>
      <c r="G70" s="58"/>
      <c r="H70" s="26"/>
      <c r="I70" s="24"/>
      <c r="J70" s="138"/>
      <c r="K70" s="169"/>
      <c r="L70" s="210"/>
      <c r="M70" s="64"/>
      <c r="N70" s="64"/>
      <c r="O70" s="98"/>
      <c r="P70" s="20"/>
      <c r="Q70" s="116"/>
      <c r="R70" s="16" t="s">
        <v>112</v>
      </c>
      <c r="S70" s="42">
        <v>3</v>
      </c>
      <c r="T70" s="37" t="b">
        <v>0</v>
      </c>
      <c r="U70" s="86"/>
      <c r="V70" s="86"/>
      <c r="W70" s="154"/>
      <c r="X70" s="7"/>
    </row>
    <row r="71" spans="2:24" ht="21" x14ac:dyDescent="0.45">
      <c r="B71" s="236"/>
      <c r="C71" s="67"/>
      <c r="D71" s="67"/>
      <c r="E71" s="215"/>
      <c r="F71" s="24"/>
      <c r="G71" s="58"/>
      <c r="H71" s="26"/>
      <c r="I71" s="24"/>
      <c r="J71" s="138"/>
      <c r="K71" s="169"/>
      <c r="L71" s="210"/>
      <c r="M71" s="64"/>
      <c r="N71" s="64"/>
      <c r="O71" s="98"/>
      <c r="P71" s="20"/>
      <c r="Q71" s="116"/>
      <c r="R71" s="16" t="s">
        <v>113</v>
      </c>
      <c r="S71" s="42">
        <v>2</v>
      </c>
      <c r="T71" s="37" t="b">
        <v>0</v>
      </c>
      <c r="U71" s="86"/>
      <c r="V71" s="86"/>
      <c r="W71" s="157"/>
      <c r="X71" s="7"/>
    </row>
    <row r="72" spans="2:24" ht="21" x14ac:dyDescent="0.45">
      <c r="B72" s="236"/>
      <c r="C72" s="67"/>
      <c r="D72" s="67"/>
      <c r="E72" s="215"/>
      <c r="F72" s="24"/>
      <c r="G72" s="58"/>
      <c r="H72" s="26"/>
      <c r="I72" s="24"/>
      <c r="J72" s="138"/>
      <c r="K72" s="169"/>
      <c r="L72" s="210"/>
      <c r="M72" s="64"/>
      <c r="N72" s="64"/>
      <c r="O72" s="98"/>
      <c r="P72" s="20"/>
      <c r="Q72" s="116"/>
      <c r="R72" s="16" t="s">
        <v>114</v>
      </c>
      <c r="S72" s="42">
        <v>1</v>
      </c>
      <c r="T72" s="37" t="b">
        <v>0</v>
      </c>
      <c r="U72" s="86"/>
      <c r="V72" s="86"/>
      <c r="W72" s="157"/>
      <c r="X72" s="7"/>
    </row>
    <row r="73" spans="2:24" ht="21" x14ac:dyDescent="0.45">
      <c r="B73" s="236"/>
      <c r="C73" s="67"/>
      <c r="D73" s="67"/>
      <c r="E73" s="216"/>
      <c r="F73" s="25"/>
      <c r="G73" s="59"/>
      <c r="H73" s="26"/>
      <c r="I73" s="25"/>
      <c r="J73" s="139"/>
      <c r="K73" s="170"/>
      <c r="L73" s="206"/>
      <c r="M73" s="63"/>
      <c r="N73" s="63"/>
      <c r="O73" s="99"/>
      <c r="P73" s="20"/>
      <c r="Q73" s="116"/>
      <c r="R73" s="16" t="s">
        <v>115</v>
      </c>
      <c r="S73" s="42">
        <v>0</v>
      </c>
      <c r="T73" s="37" t="b">
        <v>0</v>
      </c>
      <c r="U73" s="87"/>
      <c r="V73" s="87"/>
      <c r="W73" s="157"/>
      <c r="X73" s="7"/>
    </row>
    <row r="74" spans="2:24" ht="21" x14ac:dyDescent="0.45">
      <c r="B74" s="236"/>
      <c r="C74" s="67"/>
      <c r="D74" s="67"/>
      <c r="E74" s="232" t="s">
        <v>135</v>
      </c>
      <c r="F74" s="23"/>
      <c r="G74" s="74">
        <f>D22*0.434</f>
        <v>0.1736</v>
      </c>
      <c r="H74" s="26"/>
      <c r="I74" s="23"/>
      <c r="J74" s="137"/>
      <c r="K74" s="168"/>
      <c r="L74" s="205" t="s">
        <v>22</v>
      </c>
      <c r="M74" s="62"/>
      <c r="N74" s="58">
        <f>G74*0.456</f>
        <v>7.9161599999999999E-2</v>
      </c>
      <c r="O74" s="96"/>
      <c r="P74" s="198" t="s">
        <v>124</v>
      </c>
      <c r="Q74" s="118">
        <f>N74*0.5</f>
        <v>3.9580799999999999E-2</v>
      </c>
      <c r="R74" s="16" t="s">
        <v>117</v>
      </c>
      <c r="S74" s="42">
        <v>3</v>
      </c>
      <c r="T74" s="37" t="b">
        <v>0</v>
      </c>
      <c r="U74" s="84" cm="1">
        <f t="array" ref="U74">SUMPRODUCT(S74:S77,--T74:T77)</f>
        <v>0</v>
      </c>
      <c r="V74" s="85"/>
      <c r="W74" s="83">
        <f>U74/S74*Q74*100</f>
        <v>0</v>
      </c>
      <c r="X74" s="7"/>
    </row>
    <row r="75" spans="2:24" ht="21" x14ac:dyDescent="0.45">
      <c r="B75" s="236"/>
      <c r="C75" s="67"/>
      <c r="D75" s="67"/>
      <c r="E75" s="215"/>
      <c r="F75" s="24"/>
      <c r="G75" s="58"/>
      <c r="H75" s="26"/>
      <c r="I75" s="24"/>
      <c r="J75" s="138"/>
      <c r="K75" s="169"/>
      <c r="L75" s="210"/>
      <c r="M75" s="64"/>
      <c r="N75" s="64"/>
      <c r="O75" s="98"/>
      <c r="P75" s="199"/>
      <c r="Q75" s="119"/>
      <c r="R75" s="16" t="s">
        <v>118</v>
      </c>
      <c r="S75" s="42">
        <v>2</v>
      </c>
      <c r="T75" s="37" t="b">
        <v>0</v>
      </c>
      <c r="U75" s="91"/>
      <c r="V75" s="91"/>
      <c r="W75" s="92"/>
      <c r="X75" s="7"/>
    </row>
    <row r="76" spans="2:24" ht="21" x14ac:dyDescent="0.45">
      <c r="B76" s="236"/>
      <c r="C76" s="67"/>
      <c r="D76" s="67"/>
      <c r="E76" s="215"/>
      <c r="F76" s="24"/>
      <c r="G76" s="58"/>
      <c r="H76" s="26"/>
      <c r="I76" s="24"/>
      <c r="J76" s="138"/>
      <c r="K76" s="169"/>
      <c r="L76" s="210"/>
      <c r="M76" s="64"/>
      <c r="N76" s="64"/>
      <c r="O76" s="98"/>
      <c r="P76" s="199"/>
      <c r="Q76" s="119"/>
      <c r="R76" s="16" t="s">
        <v>119</v>
      </c>
      <c r="S76" s="42">
        <v>1</v>
      </c>
      <c r="T76" s="37" t="b">
        <v>0</v>
      </c>
      <c r="U76" s="91"/>
      <c r="V76" s="91"/>
      <c r="W76" s="92"/>
      <c r="X76" s="7"/>
    </row>
    <row r="77" spans="2:24" ht="21" x14ac:dyDescent="0.45">
      <c r="B77" s="236"/>
      <c r="C77" s="67"/>
      <c r="D77" s="67"/>
      <c r="E77" s="215"/>
      <c r="F77" s="24"/>
      <c r="G77" s="58"/>
      <c r="H77" s="26"/>
      <c r="I77" s="24"/>
      <c r="J77" s="138"/>
      <c r="K77" s="169"/>
      <c r="L77" s="210"/>
      <c r="M77" s="64"/>
      <c r="N77" s="64"/>
      <c r="O77" s="98"/>
      <c r="P77" s="200"/>
      <c r="Q77" s="120"/>
      <c r="R77" s="16" t="s">
        <v>120</v>
      </c>
      <c r="S77" s="42">
        <v>0</v>
      </c>
      <c r="T77" s="37" t="b">
        <v>0</v>
      </c>
      <c r="U77" s="93"/>
      <c r="V77" s="93"/>
      <c r="W77" s="92"/>
      <c r="X77" s="7"/>
    </row>
    <row r="78" spans="2:24" ht="21" x14ac:dyDescent="0.45">
      <c r="B78" s="236"/>
      <c r="C78" s="67"/>
      <c r="D78" s="67"/>
      <c r="E78" s="215"/>
      <c r="F78" s="24"/>
      <c r="G78" s="58"/>
      <c r="H78" s="26"/>
      <c r="I78" s="78"/>
      <c r="J78" s="140"/>
      <c r="K78" s="166"/>
      <c r="L78" s="210"/>
      <c r="M78" s="64"/>
      <c r="N78" s="64"/>
      <c r="O78" s="98"/>
      <c r="P78" s="198" t="s">
        <v>125</v>
      </c>
      <c r="Q78" s="118">
        <f>N74*0.5</f>
        <v>3.9580799999999999E-2</v>
      </c>
      <c r="R78" s="16" t="s">
        <v>121</v>
      </c>
      <c r="S78" s="42">
        <v>2</v>
      </c>
      <c r="T78" s="37" t="b">
        <v>0</v>
      </c>
      <c r="U78" s="84" cm="1">
        <f t="array" ref="U78">SUMPRODUCT(S78:S80,--T78:T80)</f>
        <v>0</v>
      </c>
      <c r="V78" s="85"/>
      <c r="W78" s="83">
        <f>U78/S78*Q78*100</f>
        <v>0</v>
      </c>
      <c r="X78" s="6"/>
    </row>
    <row r="79" spans="2:24" ht="21" x14ac:dyDescent="0.45">
      <c r="B79" s="236"/>
      <c r="C79" s="67"/>
      <c r="D79" s="67"/>
      <c r="E79" s="215"/>
      <c r="F79" s="24"/>
      <c r="G79" s="58"/>
      <c r="H79" s="26"/>
      <c r="I79" s="24"/>
      <c r="J79" s="138"/>
      <c r="K79" s="169"/>
      <c r="L79" s="210"/>
      <c r="M79" s="64"/>
      <c r="N79" s="64"/>
      <c r="O79" s="98"/>
      <c r="P79" s="199"/>
      <c r="Q79" s="119"/>
      <c r="R79" s="16" t="s">
        <v>122</v>
      </c>
      <c r="S79" s="42">
        <v>1</v>
      </c>
      <c r="T79" s="37" t="b">
        <v>0</v>
      </c>
      <c r="U79" s="91"/>
      <c r="V79" s="91"/>
      <c r="W79" s="92"/>
      <c r="X79" s="6"/>
    </row>
    <row r="80" spans="2:24" ht="21" x14ac:dyDescent="0.45">
      <c r="B80" s="236"/>
      <c r="C80" s="67"/>
      <c r="D80" s="67"/>
      <c r="E80" s="215"/>
      <c r="F80" s="24"/>
      <c r="G80" s="58"/>
      <c r="H80" s="26"/>
      <c r="I80" s="25"/>
      <c r="J80" s="139"/>
      <c r="K80" s="170"/>
      <c r="L80" s="206"/>
      <c r="M80" s="63"/>
      <c r="N80" s="63"/>
      <c r="O80" s="99"/>
      <c r="P80" s="200"/>
      <c r="Q80" s="120"/>
      <c r="R80" s="16" t="s">
        <v>123</v>
      </c>
      <c r="S80" s="42">
        <v>0</v>
      </c>
      <c r="T80" s="37" t="b">
        <v>0</v>
      </c>
      <c r="U80" s="93"/>
      <c r="V80" s="93"/>
      <c r="W80" s="92"/>
      <c r="X80" s="6"/>
    </row>
    <row r="81" spans="2:24" ht="21" x14ac:dyDescent="0.45">
      <c r="B81" s="236"/>
      <c r="C81" s="67"/>
      <c r="D81" s="67"/>
      <c r="E81" s="215"/>
      <c r="F81" s="24"/>
      <c r="G81" s="58"/>
      <c r="H81" s="26"/>
      <c r="I81" s="23"/>
      <c r="J81" s="137"/>
      <c r="K81" s="168"/>
      <c r="L81" s="205" t="s">
        <v>23</v>
      </c>
      <c r="M81" s="62"/>
      <c r="N81" s="58">
        <f>G74*0.222</f>
        <v>3.8539200000000003E-2</v>
      </c>
      <c r="O81" s="96"/>
      <c r="P81" s="198" t="s">
        <v>126</v>
      </c>
      <c r="Q81" s="118">
        <f>N81*0.5</f>
        <v>1.9269600000000001E-2</v>
      </c>
      <c r="R81" s="16" t="s">
        <v>128</v>
      </c>
      <c r="S81" s="42">
        <v>3</v>
      </c>
      <c r="T81" s="37" t="b">
        <v>0</v>
      </c>
      <c r="U81" s="84" cm="1">
        <f t="array" ref="U81">SUMPRODUCT(S81:S84,--T81:T84)</f>
        <v>0</v>
      </c>
      <c r="V81" s="85"/>
      <c r="W81" s="83">
        <f>U81/S81*Q81*100</f>
        <v>0</v>
      </c>
      <c r="X81" s="6"/>
    </row>
    <row r="82" spans="2:24" ht="21" x14ac:dyDescent="0.45">
      <c r="B82" s="236"/>
      <c r="C82" s="67"/>
      <c r="D82" s="67"/>
      <c r="E82" s="215"/>
      <c r="F82" s="24"/>
      <c r="G82" s="58"/>
      <c r="H82" s="26"/>
      <c r="I82" s="24"/>
      <c r="J82" s="138"/>
      <c r="K82" s="169"/>
      <c r="L82" s="210"/>
      <c r="M82" s="64"/>
      <c r="N82" s="64"/>
      <c r="O82" s="98"/>
      <c r="P82" s="199"/>
      <c r="Q82" s="119"/>
      <c r="R82" s="16" t="s">
        <v>129</v>
      </c>
      <c r="S82" s="42">
        <v>2</v>
      </c>
      <c r="T82" s="37" t="b">
        <v>0</v>
      </c>
      <c r="U82" s="91"/>
      <c r="V82" s="91"/>
      <c r="W82" s="92"/>
      <c r="X82" s="6"/>
    </row>
    <row r="83" spans="2:24" ht="21" x14ac:dyDescent="0.45">
      <c r="B83" s="236"/>
      <c r="C83" s="67"/>
      <c r="D83" s="67"/>
      <c r="E83" s="215"/>
      <c r="F83" s="24"/>
      <c r="G83" s="58"/>
      <c r="H83" s="26"/>
      <c r="I83" s="24"/>
      <c r="J83" s="138"/>
      <c r="K83" s="169"/>
      <c r="L83" s="210"/>
      <c r="M83" s="64"/>
      <c r="N83" s="64"/>
      <c r="O83" s="98"/>
      <c r="P83" s="199"/>
      <c r="Q83" s="119"/>
      <c r="R83" s="16" t="s">
        <v>130</v>
      </c>
      <c r="S83" s="42">
        <v>1</v>
      </c>
      <c r="T83" s="37" t="b">
        <v>0</v>
      </c>
      <c r="U83" s="91"/>
      <c r="V83" s="91"/>
      <c r="W83" s="92"/>
      <c r="X83" s="6"/>
    </row>
    <row r="84" spans="2:24" ht="21" x14ac:dyDescent="0.45">
      <c r="B84" s="236"/>
      <c r="C84" s="67"/>
      <c r="D84" s="67"/>
      <c r="E84" s="215"/>
      <c r="F84" s="24"/>
      <c r="G84" s="58"/>
      <c r="H84" s="26"/>
      <c r="I84" s="24"/>
      <c r="J84" s="138"/>
      <c r="K84" s="169"/>
      <c r="L84" s="210"/>
      <c r="M84" s="64"/>
      <c r="N84" s="64"/>
      <c r="O84" s="98"/>
      <c r="P84" s="200"/>
      <c r="Q84" s="120"/>
      <c r="R84" s="16" t="s">
        <v>131</v>
      </c>
      <c r="S84" s="42">
        <v>0</v>
      </c>
      <c r="T84" s="37" t="b">
        <v>0</v>
      </c>
      <c r="U84" s="93"/>
      <c r="V84" s="93"/>
      <c r="W84" s="92"/>
      <c r="X84" s="6"/>
    </row>
    <row r="85" spans="2:24" ht="21" x14ac:dyDescent="0.45">
      <c r="B85" s="236"/>
      <c r="C85" s="67"/>
      <c r="D85" s="67"/>
      <c r="E85" s="215"/>
      <c r="F85" s="24"/>
      <c r="G85" s="58"/>
      <c r="H85" s="26"/>
      <c r="I85" s="24"/>
      <c r="J85" s="138"/>
      <c r="K85" s="169"/>
      <c r="L85" s="210"/>
      <c r="M85" s="64"/>
      <c r="N85" s="64"/>
      <c r="O85" s="98"/>
      <c r="P85" s="198" t="s">
        <v>127</v>
      </c>
      <c r="Q85" s="118">
        <f>N81*0.5</f>
        <v>1.9269600000000001E-2</v>
      </c>
      <c r="R85" s="16" t="s">
        <v>132</v>
      </c>
      <c r="S85" s="42">
        <v>2</v>
      </c>
      <c r="T85" s="37" t="b">
        <v>0</v>
      </c>
      <c r="U85" s="84" cm="1">
        <f t="array" ref="U85">SUMPRODUCT(S85:S87,--T85:T87)</f>
        <v>0</v>
      </c>
      <c r="V85" s="85"/>
      <c r="W85" s="83">
        <f>U85/S85*Q85*100</f>
        <v>0</v>
      </c>
      <c r="X85" s="6"/>
    </row>
    <row r="86" spans="2:24" ht="21" x14ac:dyDescent="0.45">
      <c r="B86" s="236"/>
      <c r="C86" s="67"/>
      <c r="D86" s="67"/>
      <c r="E86" s="215"/>
      <c r="F86" s="24"/>
      <c r="G86" s="58"/>
      <c r="H86" s="26"/>
      <c r="I86" s="24"/>
      <c r="J86" s="138"/>
      <c r="K86" s="169"/>
      <c r="L86" s="210"/>
      <c r="M86" s="64"/>
      <c r="N86" s="64"/>
      <c r="O86" s="98"/>
      <c r="P86" s="199"/>
      <c r="Q86" s="114"/>
      <c r="R86" s="16" t="s">
        <v>133</v>
      </c>
      <c r="S86" s="42">
        <v>1</v>
      </c>
      <c r="T86" s="37" t="b">
        <v>0</v>
      </c>
      <c r="U86" s="91"/>
      <c r="V86" s="91"/>
      <c r="W86" s="92"/>
      <c r="X86" s="6"/>
    </row>
    <row r="87" spans="2:24" ht="21" x14ac:dyDescent="0.45">
      <c r="B87" s="236"/>
      <c r="C87" s="67"/>
      <c r="D87" s="67"/>
      <c r="E87" s="215"/>
      <c r="F87" s="24"/>
      <c r="G87" s="58"/>
      <c r="H87" s="26"/>
      <c r="I87" s="25"/>
      <c r="J87" s="139"/>
      <c r="K87" s="170"/>
      <c r="L87" s="206"/>
      <c r="M87" s="63"/>
      <c r="N87" s="63"/>
      <c r="O87" s="99"/>
      <c r="P87" s="200"/>
      <c r="Q87" s="115"/>
      <c r="R87" s="16" t="s">
        <v>134</v>
      </c>
      <c r="S87" s="42">
        <v>0</v>
      </c>
      <c r="T87" s="37" t="b">
        <v>0</v>
      </c>
      <c r="U87" s="93"/>
      <c r="V87" s="93"/>
      <c r="W87" s="92"/>
      <c r="X87" s="6"/>
    </row>
    <row r="88" spans="2:24" ht="21" x14ac:dyDescent="0.45">
      <c r="B88" s="236"/>
      <c r="C88" s="67"/>
      <c r="D88" s="67"/>
      <c r="E88" s="215"/>
      <c r="F88" s="24"/>
      <c r="G88" s="58"/>
      <c r="H88" s="27"/>
      <c r="I88" s="39"/>
      <c r="J88" s="141"/>
      <c r="K88" s="171"/>
      <c r="L88" s="205" t="s">
        <v>9</v>
      </c>
      <c r="M88" s="62"/>
      <c r="N88" s="58">
        <f>G74*0.322</f>
        <v>5.5899200000000003E-2</v>
      </c>
      <c r="O88" s="96"/>
      <c r="P88" s="20"/>
      <c r="Q88" s="116"/>
      <c r="R88" s="184" t="s">
        <v>480</v>
      </c>
      <c r="S88" s="42">
        <v>3</v>
      </c>
      <c r="T88" s="37" t="b">
        <v>0</v>
      </c>
      <c r="U88" s="84" cm="1">
        <f t="array" ref="U88">SUMPRODUCT(S88:S91,--T88:T91)</f>
        <v>0</v>
      </c>
      <c r="V88" s="85"/>
      <c r="W88" s="83">
        <f>U88/S88*N88*100</f>
        <v>0</v>
      </c>
      <c r="X88" s="4"/>
    </row>
    <row r="89" spans="2:24" ht="21" x14ac:dyDescent="0.45">
      <c r="B89" s="236"/>
      <c r="C89" s="67"/>
      <c r="D89" s="67"/>
      <c r="E89" s="215"/>
      <c r="F89" s="24"/>
      <c r="G89" s="58"/>
      <c r="H89" s="28"/>
      <c r="I89" s="40"/>
      <c r="J89" s="142"/>
      <c r="K89" s="172"/>
      <c r="L89" s="210"/>
      <c r="M89" s="64"/>
      <c r="N89" s="64"/>
      <c r="O89" s="98"/>
      <c r="P89" s="22"/>
      <c r="Q89" s="116"/>
      <c r="R89" s="195" t="s">
        <v>481</v>
      </c>
      <c r="S89" s="45">
        <v>2</v>
      </c>
      <c r="T89" s="37" t="b">
        <v>0</v>
      </c>
      <c r="U89" s="94"/>
      <c r="V89" s="94"/>
      <c r="W89" s="95"/>
      <c r="X89" s="13"/>
    </row>
    <row r="90" spans="2:24" ht="21" x14ac:dyDescent="0.45">
      <c r="B90" s="236"/>
      <c r="C90" s="67"/>
      <c r="D90" s="67"/>
      <c r="E90" s="215"/>
      <c r="F90" s="24"/>
      <c r="G90" s="58"/>
      <c r="H90" s="28"/>
      <c r="I90" s="40"/>
      <c r="J90" s="142"/>
      <c r="K90" s="172"/>
      <c r="L90" s="210"/>
      <c r="M90" s="64"/>
      <c r="N90" s="64"/>
      <c r="O90" s="98"/>
      <c r="P90" s="22"/>
      <c r="Q90" s="116"/>
      <c r="R90" s="12" t="s">
        <v>138</v>
      </c>
      <c r="S90" s="45">
        <v>1</v>
      </c>
      <c r="T90" s="37" t="b">
        <v>0</v>
      </c>
      <c r="U90" s="91"/>
      <c r="V90" s="91"/>
      <c r="W90" s="95"/>
      <c r="X90" s="13"/>
    </row>
    <row r="91" spans="2:24" ht="21" x14ac:dyDescent="0.45">
      <c r="B91" s="237"/>
      <c r="C91" s="69"/>
      <c r="D91" s="69"/>
      <c r="E91" s="216"/>
      <c r="F91" s="25"/>
      <c r="G91" s="59"/>
      <c r="H91" s="28"/>
      <c r="I91" s="41"/>
      <c r="J91" s="143"/>
      <c r="K91" s="173"/>
      <c r="L91" s="206"/>
      <c r="M91" s="63"/>
      <c r="N91" s="63"/>
      <c r="O91" s="99"/>
      <c r="P91" s="22"/>
      <c r="Q91" s="116"/>
      <c r="R91" s="12" t="s">
        <v>137</v>
      </c>
      <c r="S91" s="45">
        <v>0</v>
      </c>
      <c r="T91" s="37" t="b">
        <v>0</v>
      </c>
      <c r="U91" s="93"/>
      <c r="V91" s="93"/>
      <c r="W91" s="95"/>
      <c r="X91" s="13"/>
    </row>
    <row r="92" spans="2:24" ht="21" x14ac:dyDescent="0.45">
      <c r="B92" s="229" t="s">
        <v>24</v>
      </c>
      <c r="C92" s="76">
        <v>60</v>
      </c>
      <c r="D92" s="77">
        <v>0.6</v>
      </c>
      <c r="E92" s="232" t="s">
        <v>159</v>
      </c>
      <c r="F92" s="23"/>
      <c r="G92" s="74">
        <f>D92*0.489</f>
        <v>0.29339999999999999</v>
      </c>
      <c r="H92" s="207" t="s">
        <v>158</v>
      </c>
      <c r="I92" s="29"/>
      <c r="J92" s="132">
        <f>G92*0.422</f>
        <v>0.12381479999999999</v>
      </c>
      <c r="K92" s="174"/>
      <c r="L92" s="205" t="s">
        <v>25</v>
      </c>
      <c r="M92" s="62"/>
      <c r="N92" s="58">
        <f>J92*0.434</f>
        <v>5.3735623199999992E-2</v>
      </c>
      <c r="O92" s="96"/>
      <c r="P92" s="198" t="s">
        <v>136</v>
      </c>
      <c r="Q92" s="119">
        <f>N92*0.5</f>
        <v>2.6867811599999996E-2</v>
      </c>
      <c r="R92" s="12" t="s">
        <v>140</v>
      </c>
      <c r="S92" s="45">
        <v>9</v>
      </c>
      <c r="T92" s="37" t="b">
        <v>0</v>
      </c>
      <c r="U92" s="84" cm="1">
        <f t="array" ref="U92">SUMPRODUCT(S92:S101,--T92:T101)</f>
        <v>0</v>
      </c>
      <c r="V92" s="85"/>
      <c r="W92" s="152">
        <f>U92/S92*Q92*100</f>
        <v>0</v>
      </c>
      <c r="X92" s="5"/>
    </row>
    <row r="93" spans="2:24" ht="21" x14ac:dyDescent="0.45">
      <c r="B93" s="230"/>
      <c r="C93" s="70"/>
      <c r="D93" s="70"/>
      <c r="E93" s="215"/>
      <c r="F93" s="24"/>
      <c r="G93" s="58"/>
      <c r="H93" s="208"/>
      <c r="I93" s="30"/>
      <c r="J93" s="144"/>
      <c r="K93" s="175"/>
      <c r="L93" s="210"/>
      <c r="M93" s="64"/>
      <c r="N93" s="64"/>
      <c r="O93" s="98"/>
      <c r="P93" s="199"/>
      <c r="Q93" s="119"/>
      <c r="R93" s="12" t="s">
        <v>141</v>
      </c>
      <c r="S93" s="45">
        <v>8</v>
      </c>
      <c r="T93" s="37" t="b">
        <v>0</v>
      </c>
      <c r="U93" s="91"/>
      <c r="V93" s="91"/>
      <c r="W93" s="159"/>
      <c r="X93" s="5"/>
    </row>
    <row r="94" spans="2:24" ht="21" x14ac:dyDescent="0.45">
      <c r="B94" s="230"/>
      <c r="C94" s="70"/>
      <c r="D94" s="70"/>
      <c r="E94" s="215"/>
      <c r="F94" s="24"/>
      <c r="G94" s="58"/>
      <c r="H94" s="208"/>
      <c r="I94" s="30"/>
      <c r="J94" s="144"/>
      <c r="K94" s="175"/>
      <c r="L94" s="210"/>
      <c r="M94" s="64"/>
      <c r="N94" s="64"/>
      <c r="O94" s="98"/>
      <c r="P94" s="199"/>
      <c r="Q94" s="119"/>
      <c r="R94" s="12" t="s">
        <v>142</v>
      </c>
      <c r="S94" s="45">
        <v>7</v>
      </c>
      <c r="T94" s="37" t="b">
        <v>0</v>
      </c>
      <c r="U94" s="91"/>
      <c r="V94" s="91"/>
      <c r="W94" s="159"/>
      <c r="X94" s="5"/>
    </row>
    <row r="95" spans="2:24" ht="21" x14ac:dyDescent="0.45">
      <c r="B95" s="230"/>
      <c r="C95" s="70"/>
      <c r="D95" s="70"/>
      <c r="E95" s="215"/>
      <c r="F95" s="24"/>
      <c r="G95" s="58"/>
      <c r="H95" s="208"/>
      <c r="I95" s="30"/>
      <c r="J95" s="144"/>
      <c r="K95" s="175"/>
      <c r="L95" s="210"/>
      <c r="M95" s="64"/>
      <c r="N95" s="64"/>
      <c r="O95" s="98"/>
      <c r="P95" s="199"/>
      <c r="Q95" s="119"/>
      <c r="R95" s="12" t="s">
        <v>143</v>
      </c>
      <c r="S95" s="45">
        <v>6</v>
      </c>
      <c r="T95" s="37" t="b">
        <v>0</v>
      </c>
      <c r="U95" s="91"/>
      <c r="V95" s="91"/>
      <c r="W95" s="159"/>
      <c r="X95" s="5"/>
    </row>
    <row r="96" spans="2:24" ht="21" x14ac:dyDescent="0.45">
      <c r="B96" s="230"/>
      <c r="C96" s="70"/>
      <c r="D96" s="70"/>
      <c r="E96" s="215"/>
      <c r="F96" s="24"/>
      <c r="G96" s="58"/>
      <c r="H96" s="208"/>
      <c r="I96" s="30"/>
      <c r="J96" s="144"/>
      <c r="K96" s="175"/>
      <c r="L96" s="210"/>
      <c r="M96" s="64"/>
      <c r="N96" s="64"/>
      <c r="O96" s="98"/>
      <c r="P96" s="199"/>
      <c r="Q96" s="119"/>
      <c r="R96" s="12" t="s">
        <v>144</v>
      </c>
      <c r="S96" s="45">
        <v>5</v>
      </c>
      <c r="T96" s="37" t="b">
        <v>0</v>
      </c>
      <c r="U96" s="91"/>
      <c r="V96" s="91"/>
      <c r="W96" s="159"/>
      <c r="X96" s="5"/>
    </row>
    <row r="97" spans="2:24" ht="21" x14ac:dyDescent="0.45">
      <c r="B97" s="230"/>
      <c r="C97" s="70"/>
      <c r="D97" s="70"/>
      <c r="E97" s="215"/>
      <c r="F97" s="24"/>
      <c r="G97" s="58"/>
      <c r="H97" s="208"/>
      <c r="I97" s="30"/>
      <c r="J97" s="144"/>
      <c r="K97" s="175"/>
      <c r="L97" s="210"/>
      <c r="M97" s="64"/>
      <c r="N97" s="64"/>
      <c r="O97" s="98"/>
      <c r="P97" s="199"/>
      <c r="Q97" s="119"/>
      <c r="R97" s="12" t="s">
        <v>145</v>
      </c>
      <c r="S97" s="45">
        <v>4</v>
      </c>
      <c r="T97" s="37" t="b">
        <v>0</v>
      </c>
      <c r="U97" s="91"/>
      <c r="V97" s="91"/>
      <c r="W97" s="159"/>
      <c r="X97" s="5"/>
    </row>
    <row r="98" spans="2:24" ht="21" x14ac:dyDescent="0.45">
      <c r="B98" s="230"/>
      <c r="C98" s="70"/>
      <c r="D98" s="70"/>
      <c r="E98" s="215"/>
      <c r="F98" s="24"/>
      <c r="G98" s="58"/>
      <c r="H98" s="208"/>
      <c r="I98" s="30"/>
      <c r="J98" s="144"/>
      <c r="K98" s="175"/>
      <c r="L98" s="210"/>
      <c r="M98" s="64"/>
      <c r="N98" s="64"/>
      <c r="O98" s="98"/>
      <c r="P98" s="199"/>
      <c r="Q98" s="119"/>
      <c r="R98" s="12" t="s">
        <v>146</v>
      </c>
      <c r="S98" s="45">
        <v>3</v>
      </c>
      <c r="T98" s="37" t="b">
        <v>0</v>
      </c>
      <c r="U98" s="91"/>
      <c r="V98" s="91"/>
      <c r="W98" s="159"/>
      <c r="X98" s="5"/>
    </row>
    <row r="99" spans="2:24" ht="21" x14ac:dyDescent="0.45">
      <c r="B99" s="230"/>
      <c r="C99" s="70"/>
      <c r="D99" s="70"/>
      <c r="E99" s="215"/>
      <c r="F99" s="24"/>
      <c r="G99" s="58"/>
      <c r="H99" s="208"/>
      <c r="I99" s="30"/>
      <c r="J99" s="144"/>
      <c r="K99" s="175"/>
      <c r="L99" s="210"/>
      <c r="M99" s="64"/>
      <c r="N99" s="64"/>
      <c r="O99" s="98"/>
      <c r="P99" s="199"/>
      <c r="Q99" s="119"/>
      <c r="R99" s="12" t="s">
        <v>147</v>
      </c>
      <c r="S99" s="45">
        <v>2</v>
      </c>
      <c r="T99" s="37" t="b">
        <v>0</v>
      </c>
      <c r="U99" s="91"/>
      <c r="V99" s="91"/>
      <c r="W99" s="159"/>
      <c r="X99" s="5"/>
    </row>
    <row r="100" spans="2:24" ht="21" x14ac:dyDescent="0.45">
      <c r="B100" s="230"/>
      <c r="C100" s="70"/>
      <c r="D100" s="70"/>
      <c r="E100" s="215"/>
      <c r="F100" s="24"/>
      <c r="G100" s="58"/>
      <c r="H100" s="208"/>
      <c r="I100" s="30"/>
      <c r="J100" s="144"/>
      <c r="K100" s="175"/>
      <c r="L100" s="210"/>
      <c r="M100" s="64"/>
      <c r="N100" s="64"/>
      <c r="O100" s="98"/>
      <c r="P100" s="199"/>
      <c r="Q100" s="119"/>
      <c r="R100" s="12" t="s">
        <v>148</v>
      </c>
      <c r="S100" s="45">
        <v>1</v>
      </c>
      <c r="T100" s="37" t="b">
        <v>0</v>
      </c>
      <c r="U100" s="91"/>
      <c r="V100" s="91"/>
      <c r="W100" s="159"/>
      <c r="X100" s="5"/>
    </row>
    <row r="101" spans="2:24" ht="21" x14ac:dyDescent="0.45">
      <c r="B101" s="230"/>
      <c r="C101" s="70"/>
      <c r="D101" s="70"/>
      <c r="E101" s="215"/>
      <c r="F101" s="24"/>
      <c r="G101" s="58"/>
      <c r="H101" s="208"/>
      <c r="I101" s="30"/>
      <c r="J101" s="144"/>
      <c r="K101" s="175"/>
      <c r="L101" s="210"/>
      <c r="M101" s="64"/>
      <c r="N101" s="64"/>
      <c r="O101" s="98"/>
      <c r="P101" s="200"/>
      <c r="Q101" s="120"/>
      <c r="R101" s="12" t="s">
        <v>149</v>
      </c>
      <c r="S101" s="45">
        <v>0</v>
      </c>
      <c r="T101" s="37" t="b">
        <v>0</v>
      </c>
      <c r="U101" s="93"/>
      <c r="V101" s="93"/>
      <c r="W101" s="159"/>
      <c r="X101" s="5"/>
    </row>
    <row r="102" spans="2:24" ht="21" x14ac:dyDescent="0.45">
      <c r="B102" s="230"/>
      <c r="C102" s="70"/>
      <c r="D102" s="70"/>
      <c r="E102" s="215"/>
      <c r="F102" s="24"/>
      <c r="G102" s="58"/>
      <c r="H102" s="208"/>
      <c r="I102" s="30"/>
      <c r="J102" s="144"/>
      <c r="K102" s="175"/>
      <c r="L102" s="210"/>
      <c r="M102" s="64"/>
      <c r="N102" s="64"/>
      <c r="O102" s="98"/>
      <c r="P102" s="198" t="s">
        <v>139</v>
      </c>
      <c r="Q102" s="119">
        <f>N92*0.5</f>
        <v>2.6867811599999996E-2</v>
      </c>
      <c r="R102" s="12" t="s">
        <v>150</v>
      </c>
      <c r="S102" s="45">
        <v>3</v>
      </c>
      <c r="T102" s="37" t="b">
        <v>0</v>
      </c>
      <c r="U102" s="84" cm="1">
        <f t="array" ref="U102">SUMPRODUCT(S102:S105,--T102:T105)</f>
        <v>0</v>
      </c>
      <c r="V102" s="85"/>
      <c r="W102" s="152">
        <f>U102/S102*Q102*100</f>
        <v>0</v>
      </c>
      <c r="X102" s="5"/>
    </row>
    <row r="103" spans="2:24" ht="21" x14ac:dyDescent="0.45">
      <c r="B103" s="230"/>
      <c r="C103" s="70"/>
      <c r="D103" s="70"/>
      <c r="E103" s="215"/>
      <c r="F103" s="24"/>
      <c r="G103" s="58"/>
      <c r="H103" s="208"/>
      <c r="I103" s="30"/>
      <c r="J103" s="144"/>
      <c r="K103" s="175"/>
      <c r="L103" s="210"/>
      <c r="M103" s="64"/>
      <c r="N103" s="64"/>
      <c r="O103" s="98"/>
      <c r="P103" s="199"/>
      <c r="Q103" s="114"/>
      <c r="R103" s="12" t="s">
        <v>151</v>
      </c>
      <c r="S103" s="45">
        <v>2</v>
      </c>
      <c r="T103" s="37" t="b">
        <v>0</v>
      </c>
      <c r="U103" s="91"/>
      <c r="V103" s="91"/>
      <c r="W103" s="159"/>
      <c r="X103" s="5"/>
    </row>
    <row r="104" spans="2:24" ht="21" x14ac:dyDescent="0.45">
      <c r="B104" s="230"/>
      <c r="C104" s="70"/>
      <c r="D104" s="70"/>
      <c r="E104" s="215"/>
      <c r="F104" s="24"/>
      <c r="G104" s="58"/>
      <c r="H104" s="208"/>
      <c r="I104" s="30"/>
      <c r="J104" s="144"/>
      <c r="K104" s="175"/>
      <c r="L104" s="210"/>
      <c r="M104" s="64"/>
      <c r="N104" s="64"/>
      <c r="O104" s="98"/>
      <c r="P104" s="199"/>
      <c r="Q104" s="114"/>
      <c r="R104" s="12" t="s">
        <v>152</v>
      </c>
      <c r="S104" s="45">
        <v>1</v>
      </c>
      <c r="T104" s="37" t="b">
        <v>0</v>
      </c>
      <c r="U104" s="91"/>
      <c r="V104" s="91"/>
      <c r="W104" s="159"/>
      <c r="X104" s="5"/>
    </row>
    <row r="105" spans="2:24" ht="21" x14ac:dyDescent="0.45">
      <c r="B105" s="230"/>
      <c r="C105" s="70"/>
      <c r="D105" s="70"/>
      <c r="E105" s="215"/>
      <c r="F105" s="24"/>
      <c r="G105" s="58"/>
      <c r="H105" s="208"/>
      <c r="I105" s="30"/>
      <c r="J105" s="144"/>
      <c r="K105" s="175"/>
      <c r="L105" s="206"/>
      <c r="M105" s="63"/>
      <c r="N105" s="63"/>
      <c r="O105" s="99"/>
      <c r="P105" s="200"/>
      <c r="Q105" s="115"/>
      <c r="R105" s="12" t="s">
        <v>153</v>
      </c>
      <c r="S105" s="45">
        <v>0</v>
      </c>
      <c r="T105" s="37" t="b">
        <v>0</v>
      </c>
      <c r="U105" s="93"/>
      <c r="V105" s="93"/>
      <c r="W105" s="159"/>
      <c r="X105" s="5"/>
    </row>
    <row r="106" spans="2:24" ht="21" x14ac:dyDescent="0.45">
      <c r="B106" s="230"/>
      <c r="C106" s="70"/>
      <c r="D106" s="70"/>
      <c r="E106" s="215"/>
      <c r="F106" s="24"/>
      <c r="G106" s="58"/>
      <c r="H106" s="208"/>
      <c r="I106" s="30"/>
      <c r="J106" s="144"/>
      <c r="K106" s="175"/>
      <c r="L106" s="205" t="s">
        <v>26</v>
      </c>
      <c r="M106" s="64"/>
      <c r="N106" s="58">
        <f>J92*0.333</f>
        <v>4.1230328399999995E-2</v>
      </c>
      <c r="O106" s="96"/>
      <c r="P106" s="8"/>
      <c r="Q106" s="116"/>
      <c r="R106" s="12" t="s">
        <v>154</v>
      </c>
      <c r="S106" s="45">
        <v>1</v>
      </c>
      <c r="T106" s="37" t="b">
        <v>0</v>
      </c>
      <c r="U106" s="84" cm="1">
        <f t="array" ref="U106">SUMPRODUCT(S106:S108,--T106:T108)</f>
        <v>0</v>
      </c>
      <c r="V106" s="85" cm="1">
        <f t="array" ref="V106">IF(
  3=0,
  "",
  _xlfn.IFS(
    U106/3&gt;=0.8, 5,
    U106/3&gt;=0.6, 4,
    U106/3&gt;=0.4, 3,
    U106/3&gt;=0.2, 2,
    U106/3&gt;=0.1, 1,
    TRUE, 0
  )
)</f>
        <v>0</v>
      </c>
      <c r="W106" s="152">
        <f>V106/5*N106*100</f>
        <v>0</v>
      </c>
      <c r="X106" s="239" t="s">
        <v>157</v>
      </c>
    </row>
    <row r="107" spans="2:24" ht="21" x14ac:dyDescent="0.45">
      <c r="B107" s="230"/>
      <c r="C107" s="70"/>
      <c r="D107" s="70"/>
      <c r="E107" s="215"/>
      <c r="F107" s="24"/>
      <c r="G107" s="58"/>
      <c r="H107" s="208"/>
      <c r="I107" s="30"/>
      <c r="J107" s="144"/>
      <c r="K107" s="175"/>
      <c r="L107" s="210"/>
      <c r="M107" s="64"/>
      <c r="N107" s="64"/>
      <c r="O107" s="98"/>
      <c r="P107" s="8"/>
      <c r="Q107" s="116"/>
      <c r="R107" s="12" t="s">
        <v>155</v>
      </c>
      <c r="S107" s="45">
        <v>1</v>
      </c>
      <c r="T107" s="37" t="b">
        <v>0</v>
      </c>
      <c r="U107" s="91"/>
      <c r="V107" s="91"/>
      <c r="W107" s="159"/>
      <c r="X107" s="240"/>
    </row>
    <row r="108" spans="2:24" ht="21" x14ac:dyDescent="0.45">
      <c r="B108" s="230"/>
      <c r="C108" s="70"/>
      <c r="D108" s="70"/>
      <c r="E108" s="215"/>
      <c r="F108" s="24"/>
      <c r="G108" s="58"/>
      <c r="H108" s="208"/>
      <c r="I108" s="30"/>
      <c r="J108" s="144"/>
      <c r="K108" s="175"/>
      <c r="L108" s="206"/>
      <c r="M108" s="63"/>
      <c r="N108" s="63"/>
      <c r="O108" s="99"/>
      <c r="P108" s="8"/>
      <c r="Q108" s="116"/>
      <c r="R108" s="12" t="s">
        <v>156</v>
      </c>
      <c r="S108" s="45">
        <v>1</v>
      </c>
      <c r="T108" s="37" t="b">
        <v>0</v>
      </c>
      <c r="U108" s="93"/>
      <c r="V108" s="93"/>
      <c r="W108" s="159"/>
      <c r="X108" s="241"/>
    </row>
    <row r="109" spans="2:24" ht="21" x14ac:dyDescent="0.45">
      <c r="B109" s="230"/>
      <c r="C109" s="70"/>
      <c r="D109" s="70"/>
      <c r="E109" s="215"/>
      <c r="F109" s="24"/>
      <c r="G109" s="58"/>
      <c r="H109" s="208"/>
      <c r="I109" s="30"/>
      <c r="J109" s="144"/>
      <c r="K109" s="175"/>
      <c r="L109" s="205" t="s">
        <v>27</v>
      </c>
      <c r="M109" s="62"/>
      <c r="N109" s="58">
        <f>J92*0.233</f>
        <v>2.8848848399999998E-2</v>
      </c>
      <c r="O109" s="96"/>
      <c r="P109" s="198" t="s">
        <v>168</v>
      </c>
      <c r="Q109" s="118">
        <f>N109*0.5</f>
        <v>1.4424424199999999E-2</v>
      </c>
      <c r="R109" s="16" t="s">
        <v>160</v>
      </c>
      <c r="S109" s="42">
        <v>1</v>
      </c>
      <c r="T109" s="37" t="b">
        <v>0</v>
      </c>
      <c r="U109" s="84" cm="1">
        <f t="array" ref="U109">SUMPRODUCT(S109:S116,--T109:T116)</f>
        <v>0</v>
      </c>
      <c r="V109" s="85" cm="1">
        <f t="array" ref="V109">IF(
  8=0,
  "",
  _xlfn.IFS(
    U109/8&gt;=0.8, 5,
    U109/8&gt;=0.6, 4,
    U109/8&gt;=0.4, 3,
    U109/8&gt;=0.2, 2,
    U109/8&gt;=0.1, 1,
    TRUE, 0
  )
)</f>
        <v>0</v>
      </c>
      <c r="W109" s="152">
        <f>V109/5*Q109*100</f>
        <v>0</v>
      </c>
      <c r="X109" s="239" t="s">
        <v>157</v>
      </c>
    </row>
    <row r="110" spans="2:24" ht="21" x14ac:dyDescent="0.45">
      <c r="B110" s="230"/>
      <c r="C110" s="70"/>
      <c r="D110" s="70"/>
      <c r="E110" s="215"/>
      <c r="F110" s="24"/>
      <c r="G110" s="58"/>
      <c r="H110" s="208"/>
      <c r="I110" s="30"/>
      <c r="J110" s="144"/>
      <c r="K110" s="175"/>
      <c r="L110" s="210"/>
      <c r="M110" s="64"/>
      <c r="N110" s="64"/>
      <c r="O110" s="98"/>
      <c r="P110" s="199"/>
      <c r="Q110" s="119"/>
      <c r="R110" s="16" t="s">
        <v>161</v>
      </c>
      <c r="S110" s="42">
        <v>1</v>
      </c>
      <c r="T110" s="37" t="b">
        <v>0</v>
      </c>
      <c r="U110" s="91"/>
      <c r="V110" s="91"/>
      <c r="W110" s="159"/>
      <c r="X110" s="240"/>
    </row>
    <row r="111" spans="2:24" ht="21" x14ac:dyDescent="0.45">
      <c r="B111" s="230"/>
      <c r="C111" s="70"/>
      <c r="D111" s="70"/>
      <c r="E111" s="215"/>
      <c r="F111" s="24"/>
      <c r="G111" s="58"/>
      <c r="H111" s="208"/>
      <c r="I111" s="30"/>
      <c r="J111" s="144"/>
      <c r="K111" s="175"/>
      <c r="L111" s="210"/>
      <c r="M111" s="64"/>
      <c r="N111" s="64"/>
      <c r="O111" s="98"/>
      <c r="P111" s="199"/>
      <c r="Q111" s="119"/>
      <c r="R111" s="16" t="s">
        <v>162</v>
      </c>
      <c r="S111" s="42">
        <v>1</v>
      </c>
      <c r="T111" s="37" t="b">
        <v>0</v>
      </c>
      <c r="U111" s="91"/>
      <c r="V111" s="91"/>
      <c r="W111" s="159"/>
      <c r="X111" s="240"/>
    </row>
    <row r="112" spans="2:24" ht="21" x14ac:dyDescent="0.45">
      <c r="B112" s="230"/>
      <c r="C112" s="70"/>
      <c r="D112" s="70"/>
      <c r="E112" s="215"/>
      <c r="F112" s="24"/>
      <c r="G112" s="58"/>
      <c r="H112" s="208"/>
      <c r="I112" s="30"/>
      <c r="J112" s="144"/>
      <c r="K112" s="175"/>
      <c r="L112" s="210"/>
      <c r="M112" s="64"/>
      <c r="N112" s="64"/>
      <c r="O112" s="98"/>
      <c r="P112" s="199"/>
      <c r="Q112" s="119"/>
      <c r="R112" s="16" t="s">
        <v>163</v>
      </c>
      <c r="S112" s="42">
        <v>1</v>
      </c>
      <c r="T112" s="37" t="b">
        <v>0</v>
      </c>
      <c r="U112" s="91"/>
      <c r="V112" s="91"/>
      <c r="W112" s="159"/>
      <c r="X112" s="240"/>
    </row>
    <row r="113" spans="2:24" ht="21" x14ac:dyDescent="0.45">
      <c r="B113" s="230"/>
      <c r="C113" s="70"/>
      <c r="D113" s="70"/>
      <c r="E113" s="215"/>
      <c r="F113" s="24"/>
      <c r="G113" s="58"/>
      <c r="H113" s="208"/>
      <c r="I113" s="30"/>
      <c r="J113" s="144"/>
      <c r="K113" s="175"/>
      <c r="L113" s="210"/>
      <c r="M113" s="64"/>
      <c r="N113" s="64"/>
      <c r="O113" s="98"/>
      <c r="P113" s="199"/>
      <c r="Q113" s="119"/>
      <c r="R113" s="16" t="s">
        <v>164</v>
      </c>
      <c r="S113" s="42">
        <v>1</v>
      </c>
      <c r="T113" s="37" t="b">
        <v>0</v>
      </c>
      <c r="U113" s="91"/>
      <c r="V113" s="91"/>
      <c r="W113" s="159"/>
      <c r="X113" s="240"/>
    </row>
    <row r="114" spans="2:24" ht="21" x14ac:dyDescent="0.45">
      <c r="B114" s="230"/>
      <c r="C114" s="70"/>
      <c r="D114" s="70"/>
      <c r="E114" s="215"/>
      <c r="F114" s="24"/>
      <c r="G114" s="58"/>
      <c r="H114" s="208"/>
      <c r="I114" s="30"/>
      <c r="J114" s="144"/>
      <c r="K114" s="175"/>
      <c r="L114" s="210"/>
      <c r="M114" s="64"/>
      <c r="N114" s="64"/>
      <c r="O114" s="98"/>
      <c r="P114" s="199"/>
      <c r="Q114" s="119"/>
      <c r="R114" s="16" t="s">
        <v>165</v>
      </c>
      <c r="S114" s="42">
        <v>1</v>
      </c>
      <c r="T114" s="37" t="b">
        <v>0</v>
      </c>
      <c r="U114" s="91"/>
      <c r="V114" s="91"/>
      <c r="W114" s="159"/>
      <c r="X114" s="240"/>
    </row>
    <row r="115" spans="2:24" ht="21" x14ac:dyDescent="0.45">
      <c r="B115" s="230"/>
      <c r="C115" s="70"/>
      <c r="D115" s="70"/>
      <c r="E115" s="215"/>
      <c r="F115" s="24"/>
      <c r="G115" s="58"/>
      <c r="H115" s="208"/>
      <c r="I115" s="30"/>
      <c r="J115" s="144"/>
      <c r="K115" s="175"/>
      <c r="L115" s="210"/>
      <c r="M115" s="64"/>
      <c r="N115" s="64"/>
      <c r="O115" s="98"/>
      <c r="P115" s="199"/>
      <c r="Q115" s="119"/>
      <c r="R115" s="16" t="s">
        <v>166</v>
      </c>
      <c r="S115" s="42">
        <v>1</v>
      </c>
      <c r="T115" s="37" t="b">
        <v>0</v>
      </c>
      <c r="U115" s="91"/>
      <c r="V115" s="91"/>
      <c r="W115" s="159"/>
      <c r="X115" s="240"/>
    </row>
    <row r="116" spans="2:24" ht="21" x14ac:dyDescent="0.45">
      <c r="B116" s="230"/>
      <c r="C116" s="70"/>
      <c r="D116" s="70"/>
      <c r="E116" s="215"/>
      <c r="F116" s="24"/>
      <c r="G116" s="58"/>
      <c r="H116" s="208"/>
      <c r="I116" s="30"/>
      <c r="J116" s="144"/>
      <c r="K116" s="175"/>
      <c r="L116" s="210"/>
      <c r="M116" s="64"/>
      <c r="N116" s="64"/>
      <c r="O116" s="98"/>
      <c r="P116" s="200"/>
      <c r="Q116" s="120"/>
      <c r="R116" s="16" t="s">
        <v>167</v>
      </c>
      <c r="S116" s="42">
        <v>1</v>
      </c>
      <c r="T116" s="37" t="b">
        <v>0</v>
      </c>
      <c r="U116" s="93"/>
      <c r="V116" s="93"/>
      <c r="W116" s="159"/>
      <c r="X116" s="241"/>
    </row>
    <row r="117" spans="2:24" ht="21" x14ac:dyDescent="0.45">
      <c r="B117" s="230"/>
      <c r="C117" s="70"/>
      <c r="D117" s="70"/>
      <c r="E117" s="215"/>
      <c r="F117" s="24"/>
      <c r="G117" s="58"/>
      <c r="H117" s="208"/>
      <c r="I117" s="30"/>
      <c r="J117" s="144"/>
      <c r="K117" s="175"/>
      <c r="L117" s="210"/>
      <c r="M117" s="64"/>
      <c r="N117" s="64"/>
      <c r="O117" s="98"/>
      <c r="P117" s="198" t="s">
        <v>169</v>
      </c>
      <c r="Q117" s="118">
        <f>N109*0.5</f>
        <v>1.4424424199999999E-2</v>
      </c>
      <c r="R117" s="16" t="s">
        <v>170</v>
      </c>
      <c r="S117" s="42">
        <v>1</v>
      </c>
      <c r="T117" s="37" t="b">
        <v>0</v>
      </c>
      <c r="U117" s="84" cm="1">
        <f t="array" ref="U117">SUMPRODUCT(S117:S122,--T117:T122)</f>
        <v>0</v>
      </c>
      <c r="V117" s="85" cm="1">
        <f t="array" ref="V117">IF(
  6=0,
  "",
  _xlfn.IFS(
    U117/6&gt;=0.8, 5,
    U117/6&gt;=0.6, 4,
    U117/6&gt;=0.4, 3,
    U117/6&gt;=0.2, 2,
    U117/6&gt;=0.1, 1,
    TRUE, 0
  )
)</f>
        <v>0</v>
      </c>
      <c r="W117" s="152">
        <f>V117/5*Q117*100</f>
        <v>0</v>
      </c>
      <c r="X117" s="239" t="s">
        <v>157</v>
      </c>
    </row>
    <row r="118" spans="2:24" ht="21" x14ac:dyDescent="0.45">
      <c r="B118" s="230"/>
      <c r="C118" s="70"/>
      <c r="D118" s="70"/>
      <c r="E118" s="215"/>
      <c r="F118" s="24"/>
      <c r="G118" s="58"/>
      <c r="H118" s="208"/>
      <c r="I118" s="30"/>
      <c r="J118" s="144"/>
      <c r="K118" s="175"/>
      <c r="L118" s="210"/>
      <c r="M118" s="64"/>
      <c r="N118" s="64"/>
      <c r="O118" s="98"/>
      <c r="P118" s="199"/>
      <c r="Q118" s="114"/>
      <c r="R118" s="16" t="s">
        <v>171</v>
      </c>
      <c r="S118" s="42">
        <v>1</v>
      </c>
      <c r="T118" s="37" t="b">
        <v>0</v>
      </c>
      <c r="U118" s="91"/>
      <c r="V118" s="91"/>
      <c r="W118" s="159"/>
      <c r="X118" s="240"/>
    </row>
    <row r="119" spans="2:24" ht="21" x14ac:dyDescent="0.45">
      <c r="B119" s="230"/>
      <c r="C119" s="70"/>
      <c r="D119" s="70"/>
      <c r="E119" s="215"/>
      <c r="F119" s="24"/>
      <c r="G119" s="58"/>
      <c r="H119" s="208"/>
      <c r="I119" s="30"/>
      <c r="J119" s="144"/>
      <c r="K119" s="175"/>
      <c r="L119" s="210"/>
      <c r="M119" s="64"/>
      <c r="N119" s="64"/>
      <c r="O119" s="98"/>
      <c r="P119" s="199"/>
      <c r="Q119" s="114"/>
      <c r="R119" s="16" t="s">
        <v>172</v>
      </c>
      <c r="S119" s="42">
        <v>1</v>
      </c>
      <c r="T119" s="37" t="b">
        <v>0</v>
      </c>
      <c r="U119" s="91"/>
      <c r="V119" s="91"/>
      <c r="W119" s="159"/>
      <c r="X119" s="240"/>
    </row>
    <row r="120" spans="2:24" ht="21" x14ac:dyDescent="0.45">
      <c r="B120" s="230"/>
      <c r="C120" s="70"/>
      <c r="D120" s="70"/>
      <c r="E120" s="215"/>
      <c r="F120" s="24"/>
      <c r="G120" s="58"/>
      <c r="H120" s="208"/>
      <c r="I120" s="30"/>
      <c r="J120" s="144"/>
      <c r="K120" s="175"/>
      <c r="L120" s="210"/>
      <c r="M120" s="64"/>
      <c r="N120" s="64"/>
      <c r="O120" s="98"/>
      <c r="P120" s="199"/>
      <c r="Q120" s="114"/>
      <c r="R120" s="16" t="s">
        <v>173</v>
      </c>
      <c r="S120" s="42">
        <v>1</v>
      </c>
      <c r="T120" s="37" t="b">
        <v>0</v>
      </c>
      <c r="U120" s="91"/>
      <c r="V120" s="91"/>
      <c r="W120" s="159"/>
      <c r="X120" s="240"/>
    </row>
    <row r="121" spans="2:24" ht="21" x14ac:dyDescent="0.45">
      <c r="B121" s="230"/>
      <c r="C121" s="70"/>
      <c r="D121" s="70"/>
      <c r="E121" s="215"/>
      <c r="F121" s="24"/>
      <c r="G121" s="58"/>
      <c r="H121" s="208"/>
      <c r="I121" s="30"/>
      <c r="J121" s="144"/>
      <c r="K121" s="175"/>
      <c r="L121" s="210"/>
      <c r="M121" s="64"/>
      <c r="N121" s="64"/>
      <c r="O121" s="98"/>
      <c r="P121" s="199"/>
      <c r="Q121" s="114"/>
      <c r="R121" s="16" t="s">
        <v>174</v>
      </c>
      <c r="S121" s="42">
        <v>1</v>
      </c>
      <c r="T121" s="37" t="b">
        <v>0</v>
      </c>
      <c r="U121" s="91"/>
      <c r="V121" s="91"/>
      <c r="W121" s="159"/>
      <c r="X121" s="240"/>
    </row>
    <row r="122" spans="2:24" ht="21" x14ac:dyDescent="0.45">
      <c r="B122" s="230"/>
      <c r="C122" s="70"/>
      <c r="D122" s="70"/>
      <c r="E122" s="215"/>
      <c r="F122" s="24"/>
      <c r="G122" s="58"/>
      <c r="H122" s="209"/>
      <c r="I122" s="31"/>
      <c r="J122" s="145"/>
      <c r="K122" s="176"/>
      <c r="L122" s="206"/>
      <c r="M122" s="63"/>
      <c r="N122" s="63"/>
      <c r="O122" s="99"/>
      <c r="P122" s="200"/>
      <c r="Q122" s="115"/>
      <c r="R122" s="16" t="s">
        <v>175</v>
      </c>
      <c r="S122" s="42">
        <v>1</v>
      </c>
      <c r="T122" s="37" t="b">
        <v>0</v>
      </c>
      <c r="U122" s="93"/>
      <c r="V122" s="93"/>
      <c r="W122" s="159"/>
      <c r="X122" s="241"/>
    </row>
    <row r="123" spans="2:24" ht="21" x14ac:dyDescent="0.45">
      <c r="B123" s="230"/>
      <c r="C123" s="70"/>
      <c r="D123" s="70"/>
      <c r="E123" s="215"/>
      <c r="F123" s="24"/>
      <c r="G123" s="58"/>
      <c r="H123" s="207" t="s">
        <v>202</v>
      </c>
      <c r="I123" s="29"/>
      <c r="J123" s="132">
        <f>G92*0.378</f>
        <v>0.1109052</v>
      </c>
      <c r="K123" s="174"/>
      <c r="L123" s="205" t="s">
        <v>28</v>
      </c>
      <c r="M123" s="62"/>
      <c r="N123" s="58">
        <f>J123*0.367</f>
        <v>4.0702208399999995E-2</v>
      </c>
      <c r="O123" s="97"/>
      <c r="P123" s="222" t="s">
        <v>176</v>
      </c>
      <c r="Q123" s="58">
        <f>N123*0.5</f>
        <v>2.0351104199999998E-2</v>
      </c>
      <c r="R123" s="184" t="s">
        <v>466</v>
      </c>
      <c r="S123" s="42">
        <v>1</v>
      </c>
      <c r="T123" s="37" t="b">
        <v>0</v>
      </c>
      <c r="U123" s="84" cm="1">
        <f t="array" ref="U123">SUMPRODUCT(S123:S128,--T123:T128)</f>
        <v>0</v>
      </c>
      <c r="V123" s="85" cm="1">
        <f t="array" ref="V123">IF(
  6=0,
  "",
  _xlfn.IFS(
    U123/6&gt;=0.8, 5,
    U123/6&gt;=0.6, 4,
    U123/6&gt;=0.4, 3,
    U123/6&gt;=0.2, 2,
    U123/6&gt;=0.1, 1,
    TRUE, 0
  )
)</f>
        <v>0</v>
      </c>
      <c r="W123" s="152">
        <f>V123/5*Q123*100</f>
        <v>0</v>
      </c>
      <c r="X123" s="239" t="s">
        <v>157</v>
      </c>
    </row>
    <row r="124" spans="2:24" ht="21" x14ac:dyDescent="0.45">
      <c r="B124" s="230"/>
      <c r="C124" s="70"/>
      <c r="D124" s="70"/>
      <c r="E124" s="215"/>
      <c r="F124" s="24"/>
      <c r="G124" s="58"/>
      <c r="H124" s="208"/>
      <c r="I124" s="30"/>
      <c r="J124" s="144"/>
      <c r="K124" s="175"/>
      <c r="L124" s="210"/>
      <c r="M124" s="64"/>
      <c r="N124" s="64"/>
      <c r="O124" s="98"/>
      <c r="P124" s="223"/>
      <c r="Q124" s="58"/>
      <c r="R124" s="184" t="s">
        <v>464</v>
      </c>
      <c r="S124" s="42">
        <v>1</v>
      </c>
      <c r="T124" s="37" t="b">
        <v>0</v>
      </c>
      <c r="U124" s="91"/>
      <c r="V124" s="91"/>
      <c r="W124" s="159"/>
      <c r="X124" s="240"/>
    </row>
    <row r="125" spans="2:24" ht="21" x14ac:dyDescent="0.45">
      <c r="B125" s="230"/>
      <c r="C125" s="70"/>
      <c r="D125" s="70"/>
      <c r="E125" s="215"/>
      <c r="F125" s="24"/>
      <c r="G125" s="58"/>
      <c r="H125" s="208"/>
      <c r="I125" s="30"/>
      <c r="J125" s="144"/>
      <c r="K125" s="175"/>
      <c r="L125" s="210"/>
      <c r="M125" s="64"/>
      <c r="N125" s="64"/>
      <c r="O125" s="98"/>
      <c r="P125" s="223"/>
      <c r="Q125" s="58"/>
      <c r="R125" s="184" t="s">
        <v>469</v>
      </c>
      <c r="S125" s="42">
        <v>1</v>
      </c>
      <c r="T125" s="37" t="b">
        <v>0</v>
      </c>
      <c r="U125" s="91"/>
      <c r="V125" s="91"/>
      <c r="W125" s="159"/>
      <c r="X125" s="240"/>
    </row>
    <row r="126" spans="2:24" ht="21" x14ac:dyDescent="0.45">
      <c r="B126" s="230"/>
      <c r="C126" s="70"/>
      <c r="D126" s="70"/>
      <c r="E126" s="215"/>
      <c r="F126" s="24"/>
      <c r="G126" s="58"/>
      <c r="H126" s="208"/>
      <c r="I126" s="30"/>
      <c r="J126" s="144"/>
      <c r="K126" s="175"/>
      <c r="L126" s="210"/>
      <c r="M126" s="64"/>
      <c r="N126" s="64"/>
      <c r="O126" s="98"/>
      <c r="P126" s="223"/>
      <c r="Q126" s="58"/>
      <c r="R126" s="184" t="s">
        <v>465</v>
      </c>
      <c r="S126" s="42">
        <v>1</v>
      </c>
      <c r="T126" s="37" t="b">
        <v>0</v>
      </c>
      <c r="U126" s="91"/>
      <c r="V126" s="91"/>
      <c r="W126" s="159"/>
      <c r="X126" s="240"/>
    </row>
    <row r="127" spans="2:24" ht="21" x14ac:dyDescent="0.45">
      <c r="B127" s="230"/>
      <c r="C127" s="70"/>
      <c r="D127" s="70"/>
      <c r="E127" s="215"/>
      <c r="F127" s="24"/>
      <c r="G127" s="58"/>
      <c r="H127" s="208"/>
      <c r="I127" s="30"/>
      <c r="J127" s="144"/>
      <c r="K127" s="175"/>
      <c r="L127" s="210"/>
      <c r="M127" s="64"/>
      <c r="N127" s="64"/>
      <c r="O127" s="98"/>
      <c r="P127" s="223"/>
      <c r="Q127" s="58"/>
      <c r="R127" s="184" t="s">
        <v>468</v>
      </c>
      <c r="S127" s="42">
        <v>1</v>
      </c>
      <c r="T127" s="37" t="b">
        <v>0</v>
      </c>
      <c r="U127" s="91"/>
      <c r="V127" s="91"/>
      <c r="W127" s="159"/>
      <c r="X127" s="240"/>
    </row>
    <row r="128" spans="2:24" ht="21" x14ac:dyDescent="0.45">
      <c r="B128" s="230"/>
      <c r="C128" s="70"/>
      <c r="D128" s="70"/>
      <c r="E128" s="215"/>
      <c r="F128" s="24"/>
      <c r="G128" s="58"/>
      <c r="H128" s="208"/>
      <c r="I128" s="30"/>
      <c r="J128" s="144"/>
      <c r="K128" s="175"/>
      <c r="L128" s="210"/>
      <c r="M128" s="64"/>
      <c r="N128" s="64"/>
      <c r="O128" s="98"/>
      <c r="P128" s="224"/>
      <c r="Q128" s="58"/>
      <c r="R128" s="16" t="s">
        <v>467</v>
      </c>
      <c r="S128" s="42">
        <v>1</v>
      </c>
      <c r="T128" s="37" t="b">
        <v>0</v>
      </c>
      <c r="U128" s="93"/>
      <c r="V128" s="93"/>
      <c r="W128" s="159"/>
      <c r="X128" s="241"/>
    </row>
    <row r="129" spans="2:24" ht="21" x14ac:dyDescent="0.45">
      <c r="B129" s="230"/>
      <c r="C129" s="70"/>
      <c r="D129" s="70"/>
      <c r="E129" s="215"/>
      <c r="F129" s="24"/>
      <c r="G129" s="58"/>
      <c r="H129" s="208"/>
      <c r="I129" s="30"/>
      <c r="J129" s="144"/>
      <c r="K129" s="175"/>
      <c r="L129" s="210"/>
      <c r="M129" s="64"/>
      <c r="N129" s="64"/>
      <c r="O129" s="98"/>
      <c r="P129" s="222" t="s">
        <v>177</v>
      </c>
      <c r="Q129" s="57">
        <f>N123*0.5</f>
        <v>2.0351104199999998E-2</v>
      </c>
      <c r="R129" s="184" t="s">
        <v>470</v>
      </c>
      <c r="S129" s="42">
        <v>1</v>
      </c>
      <c r="T129" s="37" t="b">
        <v>0</v>
      </c>
      <c r="U129" s="84" cm="1">
        <f t="array" ref="U129">SUMPRODUCT(S129:S134,--T129:T134)</f>
        <v>0</v>
      </c>
      <c r="V129" s="85" cm="1">
        <f t="array" ref="V129">IF(
 8=0,
  "",
  _xlfn.IFS(
    U129/8&gt;=0.8, 5,
    U129/8&gt;=0.6, 4,
    U129/8&gt;=0.4, 3,
    U129/8&gt;=0.2, 2,
    U129/8&gt;=0.1, 1,
    TRUE, 0
  )
)</f>
        <v>0</v>
      </c>
      <c r="W129" s="152">
        <f>V129/5*Q129*100</f>
        <v>0</v>
      </c>
      <c r="X129" s="239" t="s">
        <v>157</v>
      </c>
    </row>
    <row r="130" spans="2:24" ht="21" x14ac:dyDescent="0.45">
      <c r="B130" s="230"/>
      <c r="C130" s="70"/>
      <c r="D130" s="70"/>
      <c r="E130" s="215"/>
      <c r="F130" s="24"/>
      <c r="G130" s="58"/>
      <c r="H130" s="208"/>
      <c r="I130" s="30"/>
      <c r="J130" s="144"/>
      <c r="K130" s="175"/>
      <c r="L130" s="210"/>
      <c r="M130" s="64"/>
      <c r="N130" s="64"/>
      <c r="O130" s="98"/>
      <c r="P130" s="223"/>
      <c r="Q130" s="64"/>
      <c r="R130" s="184" t="s">
        <v>471</v>
      </c>
      <c r="S130" s="42">
        <v>1</v>
      </c>
      <c r="T130" s="37" t="b">
        <v>0</v>
      </c>
      <c r="U130" s="91"/>
      <c r="V130" s="91"/>
      <c r="W130" s="159"/>
      <c r="X130" s="240"/>
    </row>
    <row r="131" spans="2:24" ht="21" x14ac:dyDescent="0.45">
      <c r="B131" s="230"/>
      <c r="C131" s="70"/>
      <c r="D131" s="70"/>
      <c r="E131" s="215"/>
      <c r="F131" s="24"/>
      <c r="G131" s="58"/>
      <c r="H131" s="208"/>
      <c r="I131" s="30"/>
      <c r="J131" s="144"/>
      <c r="K131" s="175"/>
      <c r="L131" s="210"/>
      <c r="M131" s="64"/>
      <c r="N131" s="64"/>
      <c r="O131" s="98"/>
      <c r="P131" s="223"/>
      <c r="Q131" s="64"/>
      <c r="R131" s="184" t="s">
        <v>472</v>
      </c>
      <c r="S131" s="42">
        <v>1</v>
      </c>
      <c r="T131" s="37" t="b">
        <v>0</v>
      </c>
      <c r="U131" s="91"/>
      <c r="V131" s="91"/>
      <c r="W131" s="159"/>
      <c r="X131" s="240"/>
    </row>
    <row r="132" spans="2:24" ht="21" x14ac:dyDescent="0.45">
      <c r="B132" s="230"/>
      <c r="C132" s="70"/>
      <c r="D132" s="70"/>
      <c r="E132" s="215"/>
      <c r="F132" s="24"/>
      <c r="G132" s="58"/>
      <c r="H132" s="208"/>
      <c r="I132" s="30"/>
      <c r="J132" s="144"/>
      <c r="K132" s="175"/>
      <c r="L132" s="210"/>
      <c r="M132" s="64"/>
      <c r="N132" s="64"/>
      <c r="O132" s="98"/>
      <c r="P132" s="223"/>
      <c r="Q132" s="64"/>
      <c r="R132" s="184" t="s">
        <v>474</v>
      </c>
      <c r="S132" s="42">
        <v>1</v>
      </c>
      <c r="T132" s="37" t="b">
        <v>0</v>
      </c>
      <c r="U132" s="91"/>
      <c r="V132" s="91"/>
      <c r="W132" s="159"/>
      <c r="X132" s="240"/>
    </row>
    <row r="133" spans="2:24" ht="21" x14ac:dyDescent="0.45">
      <c r="B133" s="230"/>
      <c r="C133" s="70"/>
      <c r="D133" s="70"/>
      <c r="E133" s="215"/>
      <c r="F133" s="24"/>
      <c r="G133" s="58"/>
      <c r="H133" s="208"/>
      <c r="I133" s="30"/>
      <c r="J133" s="144"/>
      <c r="K133" s="175"/>
      <c r="L133" s="210"/>
      <c r="M133" s="64"/>
      <c r="N133" s="64"/>
      <c r="O133" s="98"/>
      <c r="P133" s="223"/>
      <c r="Q133" s="64"/>
      <c r="R133" s="16" t="s">
        <v>473</v>
      </c>
      <c r="S133" s="42">
        <v>1</v>
      </c>
      <c r="T133" s="37" t="b">
        <v>0</v>
      </c>
      <c r="U133" s="91"/>
      <c r="V133" s="91"/>
      <c r="W133" s="159"/>
      <c r="X133" s="240"/>
    </row>
    <row r="134" spans="2:24" ht="21" x14ac:dyDescent="0.45">
      <c r="B134" s="230"/>
      <c r="C134" s="70"/>
      <c r="D134" s="70"/>
      <c r="E134" s="215"/>
      <c r="F134" s="24"/>
      <c r="G134" s="58"/>
      <c r="H134" s="208"/>
      <c r="I134" s="30"/>
      <c r="J134" s="144"/>
      <c r="K134" s="175"/>
      <c r="L134" s="210"/>
      <c r="M134" s="64"/>
      <c r="N134" s="64"/>
      <c r="O134" s="98"/>
      <c r="P134" s="223"/>
      <c r="Q134" s="64"/>
      <c r="R134" s="16" t="s">
        <v>199</v>
      </c>
      <c r="S134" s="42">
        <v>1</v>
      </c>
      <c r="T134" s="37" t="b">
        <v>0</v>
      </c>
      <c r="U134" s="91"/>
      <c r="V134" s="91"/>
      <c r="W134" s="159"/>
      <c r="X134" s="240"/>
    </row>
    <row r="135" spans="2:24" ht="21" x14ac:dyDescent="0.45">
      <c r="B135" s="230"/>
      <c r="C135" s="70"/>
      <c r="D135" s="70"/>
      <c r="E135" s="215"/>
      <c r="F135" s="24"/>
      <c r="G135" s="58"/>
      <c r="H135" s="208"/>
      <c r="I135" s="30"/>
      <c r="J135" s="144"/>
      <c r="K135" s="175"/>
      <c r="L135" s="205" t="s">
        <v>201</v>
      </c>
      <c r="M135" s="62"/>
      <c r="N135" s="58">
        <f>J123*0.444</f>
        <v>4.9241908799999998E-2</v>
      </c>
      <c r="O135" s="97"/>
      <c r="P135" s="198" t="s">
        <v>178</v>
      </c>
      <c r="Q135" s="121">
        <f>N135*0.5</f>
        <v>2.4620954399999999E-2</v>
      </c>
      <c r="R135" s="16" t="s">
        <v>179</v>
      </c>
      <c r="S135" s="42">
        <v>4</v>
      </c>
      <c r="T135" s="37" t="b">
        <v>0</v>
      </c>
      <c r="U135" s="84" cm="1">
        <f t="array" ref="U135">SUMPRODUCT(S135:S139,--T135:T139)</f>
        <v>0</v>
      </c>
      <c r="V135" s="85"/>
      <c r="W135" s="152">
        <f>U135/S135*Q135*100</f>
        <v>0</v>
      </c>
      <c r="X135" s="6"/>
    </row>
    <row r="136" spans="2:24" ht="21" x14ac:dyDescent="0.45">
      <c r="B136" s="230"/>
      <c r="C136" s="70"/>
      <c r="D136" s="70"/>
      <c r="E136" s="215"/>
      <c r="F136" s="24"/>
      <c r="G136" s="58"/>
      <c r="H136" s="208"/>
      <c r="I136" s="30"/>
      <c r="J136" s="144"/>
      <c r="K136" s="175"/>
      <c r="L136" s="210"/>
      <c r="M136" s="64"/>
      <c r="N136" s="64"/>
      <c r="O136" s="98"/>
      <c r="P136" s="199"/>
      <c r="Q136" s="201" t="s">
        <v>444</v>
      </c>
      <c r="R136" s="16" t="s">
        <v>180</v>
      </c>
      <c r="S136" s="42">
        <v>3</v>
      </c>
      <c r="T136" s="37" t="b">
        <v>0</v>
      </c>
      <c r="U136" s="91"/>
      <c r="V136" s="91"/>
      <c r="W136" s="158"/>
      <c r="X136" s="6"/>
    </row>
    <row r="137" spans="2:24" ht="21" x14ac:dyDescent="0.45">
      <c r="B137" s="230"/>
      <c r="C137" s="70"/>
      <c r="D137" s="70"/>
      <c r="E137" s="215"/>
      <c r="F137" s="24"/>
      <c r="G137" s="58"/>
      <c r="H137" s="208"/>
      <c r="I137" s="30"/>
      <c r="J137" s="144"/>
      <c r="K137" s="175"/>
      <c r="L137" s="210"/>
      <c r="M137" s="64"/>
      <c r="N137" s="64"/>
      <c r="O137" s="98"/>
      <c r="P137" s="199"/>
      <c r="Q137" s="201"/>
      <c r="R137" s="16" t="s">
        <v>181</v>
      </c>
      <c r="S137" s="42">
        <v>2</v>
      </c>
      <c r="T137" s="37" t="b">
        <v>0</v>
      </c>
      <c r="U137" s="91"/>
      <c r="V137" s="91"/>
      <c r="W137" s="158"/>
      <c r="X137" s="6"/>
    </row>
    <row r="138" spans="2:24" ht="21" x14ac:dyDescent="0.45">
      <c r="B138" s="230"/>
      <c r="C138" s="70"/>
      <c r="D138" s="70"/>
      <c r="E138" s="215"/>
      <c r="F138" s="24"/>
      <c r="G138" s="58"/>
      <c r="H138" s="208"/>
      <c r="I138" s="30"/>
      <c r="J138" s="144"/>
      <c r="K138" s="175"/>
      <c r="L138" s="210"/>
      <c r="M138" s="64"/>
      <c r="N138" s="64"/>
      <c r="O138" s="98"/>
      <c r="P138" s="199"/>
      <c r="Q138" s="201"/>
      <c r="R138" s="16" t="s">
        <v>182</v>
      </c>
      <c r="S138" s="42">
        <v>1</v>
      </c>
      <c r="T138" s="37" t="b">
        <v>0</v>
      </c>
      <c r="U138" s="91"/>
      <c r="V138" s="91"/>
      <c r="W138" s="158"/>
      <c r="X138" s="6"/>
    </row>
    <row r="139" spans="2:24" ht="21" x14ac:dyDescent="0.45">
      <c r="B139" s="230"/>
      <c r="C139" s="70"/>
      <c r="D139" s="70"/>
      <c r="E139" s="215"/>
      <c r="F139" s="24"/>
      <c r="G139" s="58"/>
      <c r="H139" s="208"/>
      <c r="I139" s="30"/>
      <c r="J139" s="144"/>
      <c r="K139" s="175"/>
      <c r="L139" s="210"/>
      <c r="M139" s="64"/>
      <c r="N139" s="64"/>
      <c r="O139" s="98"/>
      <c r="P139" s="200"/>
      <c r="Q139" s="201"/>
      <c r="R139" s="16" t="s">
        <v>183</v>
      </c>
      <c r="S139" s="42">
        <v>0</v>
      </c>
      <c r="T139" s="37" t="b">
        <v>0</v>
      </c>
      <c r="U139" s="93"/>
      <c r="V139" s="93"/>
      <c r="W139" s="158"/>
      <c r="X139" s="6"/>
    </row>
    <row r="140" spans="2:24" ht="21" x14ac:dyDescent="0.45">
      <c r="B140" s="230"/>
      <c r="C140" s="70"/>
      <c r="D140" s="70"/>
      <c r="E140" s="215"/>
      <c r="F140" s="24"/>
      <c r="G140" s="58"/>
      <c r="H140" s="208"/>
      <c r="I140" s="30"/>
      <c r="J140" s="144"/>
      <c r="K140" s="175"/>
      <c r="L140" s="210"/>
      <c r="M140" s="64"/>
      <c r="N140" s="64"/>
      <c r="O140" s="98"/>
      <c r="P140" s="198" t="s">
        <v>190</v>
      </c>
      <c r="Q140" s="201"/>
      <c r="R140" s="16" t="s">
        <v>184</v>
      </c>
      <c r="S140" s="42">
        <v>3</v>
      </c>
      <c r="T140" s="37" t="b">
        <v>0</v>
      </c>
      <c r="U140" s="84" cm="1">
        <f t="array" ref="U140">SUMPRODUCT(S140:S143,--T140:T143)</f>
        <v>0</v>
      </c>
      <c r="V140" s="85"/>
      <c r="W140" s="152">
        <f>U140/S140*Q135*100</f>
        <v>0</v>
      </c>
      <c r="X140" s="6"/>
    </row>
    <row r="141" spans="2:24" ht="21" x14ac:dyDescent="0.45">
      <c r="B141" s="230"/>
      <c r="C141" s="70"/>
      <c r="D141" s="70"/>
      <c r="E141" s="215"/>
      <c r="F141" s="24"/>
      <c r="G141" s="58"/>
      <c r="H141" s="208"/>
      <c r="I141" s="30"/>
      <c r="J141" s="144"/>
      <c r="K141" s="175"/>
      <c r="L141" s="210"/>
      <c r="M141" s="64"/>
      <c r="N141" s="64"/>
      <c r="O141" s="98"/>
      <c r="P141" s="199"/>
      <c r="Q141" s="201"/>
      <c r="R141" s="16" t="s">
        <v>185</v>
      </c>
      <c r="S141" s="42">
        <v>2</v>
      </c>
      <c r="T141" s="37" t="b">
        <v>0</v>
      </c>
      <c r="U141" s="91"/>
      <c r="V141" s="91"/>
      <c r="W141" s="158"/>
      <c r="X141" s="6"/>
    </row>
    <row r="142" spans="2:24" ht="21" x14ac:dyDescent="0.45">
      <c r="B142" s="230"/>
      <c r="C142" s="70"/>
      <c r="D142" s="70"/>
      <c r="E142" s="215"/>
      <c r="F142" s="24"/>
      <c r="G142" s="58"/>
      <c r="H142" s="208"/>
      <c r="I142" s="30"/>
      <c r="J142" s="144"/>
      <c r="K142" s="175"/>
      <c r="L142" s="210"/>
      <c r="M142" s="64"/>
      <c r="N142" s="64"/>
      <c r="O142" s="98"/>
      <c r="P142" s="199"/>
      <c r="Q142" s="201"/>
      <c r="R142" s="16" t="s">
        <v>186</v>
      </c>
      <c r="S142" s="42">
        <v>1</v>
      </c>
      <c r="T142" s="37" t="b">
        <v>0</v>
      </c>
      <c r="U142" s="91"/>
      <c r="V142" s="91"/>
      <c r="W142" s="158"/>
      <c r="X142" s="6"/>
    </row>
    <row r="143" spans="2:24" ht="21" x14ac:dyDescent="0.45">
      <c r="B143" s="230"/>
      <c r="C143" s="70"/>
      <c r="D143" s="70"/>
      <c r="E143" s="215"/>
      <c r="F143" s="24"/>
      <c r="G143" s="58"/>
      <c r="H143" s="208"/>
      <c r="I143" s="30"/>
      <c r="J143" s="144"/>
      <c r="K143" s="175"/>
      <c r="L143" s="210"/>
      <c r="M143" s="64"/>
      <c r="N143" s="64"/>
      <c r="O143" s="98"/>
      <c r="P143" s="200"/>
      <c r="Q143" s="202"/>
      <c r="R143" s="16" t="s">
        <v>187</v>
      </c>
      <c r="S143" s="42">
        <v>0</v>
      </c>
      <c r="T143" s="37" t="b">
        <v>0</v>
      </c>
      <c r="U143" s="93"/>
      <c r="V143" s="93"/>
      <c r="W143" s="158"/>
      <c r="X143" s="6"/>
    </row>
    <row r="144" spans="2:24" ht="21" x14ac:dyDescent="0.45">
      <c r="B144" s="230"/>
      <c r="C144" s="70"/>
      <c r="D144" s="70"/>
      <c r="E144" s="215"/>
      <c r="F144" s="24"/>
      <c r="G144" s="58"/>
      <c r="H144" s="208"/>
      <c r="I144" s="30"/>
      <c r="J144" s="144"/>
      <c r="K144" s="175"/>
      <c r="L144" s="210"/>
      <c r="M144" s="64"/>
      <c r="N144" s="64"/>
      <c r="O144" s="98"/>
      <c r="P144" s="198" t="s">
        <v>188</v>
      </c>
      <c r="Q144" s="118">
        <f>N135*0.5</f>
        <v>2.4620954399999999E-2</v>
      </c>
      <c r="R144" s="16" t="s">
        <v>189</v>
      </c>
      <c r="S144" s="42">
        <v>9</v>
      </c>
      <c r="T144" s="37" t="b">
        <v>0</v>
      </c>
      <c r="U144" s="84" cm="1">
        <f t="array" ref="U144">SUMPRODUCT(S144:S153,--T144:T153)</f>
        <v>0</v>
      </c>
      <c r="V144" s="85"/>
      <c r="W144" s="152">
        <f>U144/S144*Q144*100</f>
        <v>0</v>
      </c>
      <c r="X144" s="6"/>
    </row>
    <row r="145" spans="2:24" ht="21" x14ac:dyDescent="0.45">
      <c r="B145" s="230"/>
      <c r="C145" s="70"/>
      <c r="D145" s="70"/>
      <c r="E145" s="215"/>
      <c r="F145" s="24"/>
      <c r="G145" s="58"/>
      <c r="H145" s="208"/>
      <c r="I145" s="30"/>
      <c r="J145" s="144"/>
      <c r="K145" s="175"/>
      <c r="L145" s="210"/>
      <c r="M145" s="64"/>
      <c r="N145" s="64"/>
      <c r="O145" s="98"/>
      <c r="P145" s="199"/>
      <c r="Q145" s="114"/>
      <c r="R145" s="16" t="s">
        <v>191</v>
      </c>
      <c r="S145" s="42">
        <v>8</v>
      </c>
      <c r="T145" s="37" t="b">
        <v>0</v>
      </c>
      <c r="U145" s="91"/>
      <c r="V145" s="91"/>
      <c r="W145" s="158"/>
      <c r="X145" s="6"/>
    </row>
    <row r="146" spans="2:24" ht="21" x14ac:dyDescent="0.45">
      <c r="B146" s="230"/>
      <c r="C146" s="70"/>
      <c r="D146" s="70"/>
      <c r="E146" s="215"/>
      <c r="F146" s="24"/>
      <c r="G146" s="58"/>
      <c r="H146" s="208"/>
      <c r="I146" s="30"/>
      <c r="J146" s="144"/>
      <c r="K146" s="175"/>
      <c r="L146" s="210"/>
      <c r="M146" s="64"/>
      <c r="N146" s="64"/>
      <c r="O146" s="98"/>
      <c r="P146" s="199"/>
      <c r="Q146" s="114"/>
      <c r="R146" s="16" t="s">
        <v>193</v>
      </c>
      <c r="S146" s="42">
        <v>7</v>
      </c>
      <c r="T146" s="37" t="b">
        <v>0</v>
      </c>
      <c r="U146" s="91"/>
      <c r="V146" s="91"/>
      <c r="W146" s="158"/>
      <c r="X146" s="6"/>
    </row>
    <row r="147" spans="2:24" ht="21" x14ac:dyDescent="0.45">
      <c r="B147" s="230"/>
      <c r="C147" s="70"/>
      <c r="D147" s="70"/>
      <c r="E147" s="215"/>
      <c r="F147" s="24"/>
      <c r="G147" s="58"/>
      <c r="H147" s="208"/>
      <c r="I147" s="30"/>
      <c r="J147" s="144"/>
      <c r="K147" s="175"/>
      <c r="L147" s="210"/>
      <c r="M147" s="64"/>
      <c r="N147" s="64"/>
      <c r="O147" s="98"/>
      <c r="P147" s="199"/>
      <c r="Q147" s="114"/>
      <c r="R147" s="16" t="s">
        <v>208</v>
      </c>
      <c r="S147" s="42">
        <v>6</v>
      </c>
      <c r="T147" s="37" t="b">
        <v>0</v>
      </c>
      <c r="U147" s="91"/>
      <c r="V147" s="91"/>
      <c r="W147" s="158"/>
      <c r="X147" s="6"/>
    </row>
    <row r="148" spans="2:24" ht="21" x14ac:dyDescent="0.45">
      <c r="B148" s="230"/>
      <c r="C148" s="70"/>
      <c r="D148" s="70"/>
      <c r="E148" s="215"/>
      <c r="F148" s="24"/>
      <c r="G148" s="58"/>
      <c r="H148" s="208"/>
      <c r="I148" s="30"/>
      <c r="J148" s="144"/>
      <c r="K148" s="175"/>
      <c r="L148" s="210"/>
      <c r="M148" s="64"/>
      <c r="N148" s="64"/>
      <c r="O148" s="98"/>
      <c r="P148" s="199"/>
      <c r="Q148" s="114"/>
      <c r="R148" s="16" t="s">
        <v>192</v>
      </c>
      <c r="S148" s="42">
        <v>5</v>
      </c>
      <c r="T148" s="37" t="b">
        <v>0</v>
      </c>
      <c r="U148" s="91"/>
      <c r="V148" s="91"/>
      <c r="W148" s="158"/>
      <c r="X148" s="6"/>
    </row>
    <row r="149" spans="2:24" ht="21" x14ac:dyDescent="0.45">
      <c r="B149" s="230"/>
      <c r="C149" s="70"/>
      <c r="D149" s="70"/>
      <c r="E149" s="215"/>
      <c r="F149" s="24"/>
      <c r="G149" s="58"/>
      <c r="H149" s="208"/>
      <c r="I149" s="30"/>
      <c r="J149" s="144"/>
      <c r="K149" s="175"/>
      <c r="L149" s="210"/>
      <c r="M149" s="64"/>
      <c r="N149" s="64"/>
      <c r="O149" s="98"/>
      <c r="P149" s="199"/>
      <c r="Q149" s="114"/>
      <c r="R149" s="16" t="s">
        <v>194</v>
      </c>
      <c r="S149" s="42">
        <v>4</v>
      </c>
      <c r="T149" s="37" t="b">
        <v>0</v>
      </c>
      <c r="U149" s="91"/>
      <c r="V149" s="91"/>
      <c r="W149" s="158"/>
      <c r="X149" s="6"/>
    </row>
    <row r="150" spans="2:24" ht="21" x14ac:dyDescent="0.45">
      <c r="B150" s="230"/>
      <c r="C150" s="70"/>
      <c r="D150" s="70"/>
      <c r="E150" s="215"/>
      <c r="F150" s="24"/>
      <c r="G150" s="58"/>
      <c r="H150" s="208"/>
      <c r="I150" s="30"/>
      <c r="J150" s="144"/>
      <c r="K150" s="175"/>
      <c r="L150" s="210"/>
      <c r="M150" s="64"/>
      <c r="N150" s="64"/>
      <c r="O150" s="98"/>
      <c r="P150" s="199"/>
      <c r="Q150" s="114"/>
      <c r="R150" s="16" t="s">
        <v>195</v>
      </c>
      <c r="S150" s="42">
        <v>3</v>
      </c>
      <c r="T150" s="37" t="b">
        <v>0</v>
      </c>
      <c r="U150" s="91"/>
      <c r="V150" s="91"/>
      <c r="W150" s="158"/>
      <c r="X150" s="6"/>
    </row>
    <row r="151" spans="2:24" ht="21" x14ac:dyDescent="0.45">
      <c r="B151" s="230"/>
      <c r="C151" s="70"/>
      <c r="D151" s="70"/>
      <c r="E151" s="215"/>
      <c r="F151" s="24"/>
      <c r="G151" s="58"/>
      <c r="H151" s="208"/>
      <c r="I151" s="30"/>
      <c r="J151" s="144"/>
      <c r="K151" s="175"/>
      <c r="L151" s="210"/>
      <c r="M151" s="64"/>
      <c r="N151" s="64"/>
      <c r="O151" s="98"/>
      <c r="P151" s="199"/>
      <c r="Q151" s="114"/>
      <c r="R151" s="16" t="s">
        <v>196</v>
      </c>
      <c r="S151" s="42">
        <v>2</v>
      </c>
      <c r="T151" s="37" t="b">
        <v>0</v>
      </c>
      <c r="U151" s="91"/>
      <c r="V151" s="91"/>
      <c r="W151" s="158"/>
      <c r="X151" s="6"/>
    </row>
    <row r="152" spans="2:24" ht="21" x14ac:dyDescent="0.45">
      <c r="B152" s="230"/>
      <c r="C152" s="70"/>
      <c r="D152" s="70"/>
      <c r="E152" s="215"/>
      <c r="F152" s="24"/>
      <c r="G152" s="58"/>
      <c r="H152" s="208"/>
      <c r="I152" s="30"/>
      <c r="J152" s="144"/>
      <c r="K152" s="175"/>
      <c r="L152" s="210"/>
      <c r="M152" s="64"/>
      <c r="N152" s="64"/>
      <c r="O152" s="98"/>
      <c r="P152" s="199"/>
      <c r="Q152" s="114"/>
      <c r="R152" s="16" t="s">
        <v>197</v>
      </c>
      <c r="S152" s="42">
        <v>1</v>
      </c>
      <c r="T152" s="37" t="b">
        <v>0</v>
      </c>
      <c r="U152" s="91"/>
      <c r="V152" s="91"/>
      <c r="W152" s="158"/>
      <c r="X152" s="6"/>
    </row>
    <row r="153" spans="2:24" ht="21" x14ac:dyDescent="0.45">
      <c r="B153" s="230"/>
      <c r="C153" s="70"/>
      <c r="D153" s="70"/>
      <c r="E153" s="215"/>
      <c r="F153" s="24"/>
      <c r="G153" s="58"/>
      <c r="H153" s="208"/>
      <c r="I153" s="30"/>
      <c r="J153" s="144"/>
      <c r="K153" s="175"/>
      <c r="L153" s="206"/>
      <c r="M153" s="63"/>
      <c r="N153" s="63"/>
      <c r="O153" s="99"/>
      <c r="P153" s="200"/>
      <c r="Q153" s="115"/>
      <c r="R153" s="16" t="s">
        <v>198</v>
      </c>
      <c r="S153" s="42">
        <v>0</v>
      </c>
      <c r="T153" s="37" t="b">
        <v>0</v>
      </c>
      <c r="U153" s="93"/>
      <c r="V153" s="93"/>
      <c r="W153" s="158"/>
      <c r="X153" s="6"/>
    </row>
    <row r="154" spans="2:24" ht="21" x14ac:dyDescent="0.45">
      <c r="B154" s="230"/>
      <c r="C154" s="70"/>
      <c r="D154" s="70"/>
      <c r="E154" s="215"/>
      <c r="F154" s="24"/>
      <c r="G154" s="58"/>
      <c r="H154" s="208"/>
      <c r="I154" s="30"/>
      <c r="J154" s="144"/>
      <c r="K154" s="175"/>
      <c r="L154" s="205" t="s">
        <v>29</v>
      </c>
      <c r="M154" s="64"/>
      <c r="N154" s="58">
        <f>J123*0.189</f>
        <v>2.0961082799999999E-2</v>
      </c>
      <c r="O154" s="97"/>
      <c r="P154" s="8"/>
      <c r="Q154" s="116"/>
      <c r="R154" s="16" t="s">
        <v>203</v>
      </c>
      <c r="S154" s="42">
        <v>1</v>
      </c>
      <c r="T154" s="37" t="b">
        <v>0</v>
      </c>
      <c r="U154" s="84" cm="1">
        <f t="array" ref="U154">SUMPRODUCT(S154:S159,--T154:T159)</f>
        <v>0</v>
      </c>
      <c r="V154" s="85" cm="1">
        <f t="array" ref="V154">IF(
 6=0,
  "",
  _xlfn.IFS(
    U154/6&gt;=0.8, 5,
    U154/6&gt;=0.6, 4,
    U154/6&gt;=0.4, 3,
    U154/6&gt;=0.2, 2,
    U154/6&gt;=0.1, 1,
    TRUE, 0
  )
)</f>
        <v>0</v>
      </c>
      <c r="W154" s="152">
        <f>V154/5*N154*100</f>
        <v>0</v>
      </c>
      <c r="X154" s="239" t="s">
        <v>157</v>
      </c>
    </row>
    <row r="155" spans="2:24" ht="21" x14ac:dyDescent="0.45">
      <c r="B155" s="230"/>
      <c r="C155" s="70"/>
      <c r="D155" s="70"/>
      <c r="E155" s="215"/>
      <c r="F155" s="24"/>
      <c r="G155" s="58"/>
      <c r="H155" s="208"/>
      <c r="I155" s="30"/>
      <c r="J155" s="144"/>
      <c r="K155" s="175"/>
      <c r="L155" s="210"/>
      <c r="M155" s="64"/>
      <c r="N155" s="64"/>
      <c r="O155" s="98"/>
      <c r="P155" s="8"/>
      <c r="Q155" s="116"/>
      <c r="R155" s="16" t="s">
        <v>204</v>
      </c>
      <c r="S155" s="42">
        <v>1</v>
      </c>
      <c r="T155" s="37" t="b">
        <v>0</v>
      </c>
      <c r="U155" s="91"/>
      <c r="V155" s="91"/>
      <c r="W155" s="159"/>
      <c r="X155" s="240"/>
    </row>
    <row r="156" spans="2:24" ht="21" x14ac:dyDescent="0.45">
      <c r="B156" s="230"/>
      <c r="C156" s="70"/>
      <c r="D156" s="70"/>
      <c r="E156" s="215"/>
      <c r="F156" s="24"/>
      <c r="G156" s="58"/>
      <c r="H156" s="208"/>
      <c r="I156" s="30"/>
      <c r="J156" s="144"/>
      <c r="K156" s="175"/>
      <c r="L156" s="210"/>
      <c r="M156" s="64"/>
      <c r="N156" s="64"/>
      <c r="O156" s="98"/>
      <c r="P156" s="8"/>
      <c r="Q156" s="116"/>
      <c r="R156" s="16" t="s">
        <v>205</v>
      </c>
      <c r="S156" s="42">
        <v>1</v>
      </c>
      <c r="T156" s="37" t="b">
        <v>0</v>
      </c>
      <c r="U156" s="91"/>
      <c r="V156" s="91"/>
      <c r="W156" s="159"/>
      <c r="X156" s="240"/>
    </row>
    <row r="157" spans="2:24" ht="21" x14ac:dyDescent="0.45">
      <c r="B157" s="230"/>
      <c r="C157" s="70"/>
      <c r="D157" s="70"/>
      <c r="E157" s="215"/>
      <c r="F157" s="24"/>
      <c r="G157" s="58"/>
      <c r="H157" s="208"/>
      <c r="I157" s="30"/>
      <c r="J157" s="144"/>
      <c r="K157" s="175"/>
      <c r="L157" s="210"/>
      <c r="M157" s="64"/>
      <c r="N157" s="64"/>
      <c r="O157" s="98"/>
      <c r="P157" s="8"/>
      <c r="Q157" s="116"/>
      <c r="R157" s="16" t="s">
        <v>206</v>
      </c>
      <c r="S157" s="42">
        <v>1</v>
      </c>
      <c r="T157" s="37" t="b">
        <v>0</v>
      </c>
      <c r="U157" s="91"/>
      <c r="V157" s="91"/>
      <c r="W157" s="159"/>
      <c r="X157" s="240"/>
    </row>
    <row r="158" spans="2:24" ht="21" x14ac:dyDescent="0.45">
      <c r="B158" s="230"/>
      <c r="C158" s="70"/>
      <c r="D158" s="70"/>
      <c r="E158" s="215"/>
      <c r="F158" s="24"/>
      <c r="G158" s="58"/>
      <c r="H158" s="208"/>
      <c r="I158" s="30"/>
      <c r="J158" s="144"/>
      <c r="K158" s="175"/>
      <c r="L158" s="210"/>
      <c r="M158" s="64"/>
      <c r="N158" s="64"/>
      <c r="O158" s="98"/>
      <c r="P158" s="8"/>
      <c r="Q158" s="116"/>
      <c r="R158" s="16" t="s">
        <v>275</v>
      </c>
      <c r="S158" s="42">
        <v>1</v>
      </c>
      <c r="T158" s="37" t="b">
        <v>0</v>
      </c>
      <c r="U158" s="91"/>
      <c r="V158" s="91"/>
      <c r="W158" s="159"/>
      <c r="X158" s="240"/>
    </row>
    <row r="159" spans="2:24" ht="21" x14ac:dyDescent="0.45">
      <c r="B159" s="230"/>
      <c r="C159" s="70"/>
      <c r="D159" s="70"/>
      <c r="E159" s="215"/>
      <c r="F159" s="24"/>
      <c r="G159" s="58"/>
      <c r="H159" s="209"/>
      <c r="I159" s="31"/>
      <c r="J159" s="145"/>
      <c r="K159" s="176"/>
      <c r="L159" s="206"/>
      <c r="M159" s="63"/>
      <c r="N159" s="63"/>
      <c r="O159" s="99"/>
      <c r="P159" s="8"/>
      <c r="Q159" s="116"/>
      <c r="R159" s="16" t="s">
        <v>207</v>
      </c>
      <c r="S159" s="42">
        <v>1</v>
      </c>
      <c r="T159" s="37" t="b">
        <v>0</v>
      </c>
      <c r="U159" s="93"/>
      <c r="V159" s="93"/>
      <c r="W159" s="159"/>
      <c r="X159" s="241"/>
    </row>
    <row r="160" spans="2:24" ht="21" x14ac:dyDescent="0.45">
      <c r="B160" s="230"/>
      <c r="C160" s="70"/>
      <c r="D160" s="70"/>
      <c r="E160" s="215"/>
      <c r="F160" s="24"/>
      <c r="G160" s="58"/>
      <c r="H160" s="207" t="s">
        <v>238</v>
      </c>
      <c r="I160" s="29"/>
      <c r="J160" s="132">
        <f>G92*0.2</f>
        <v>5.8680000000000003E-2</v>
      </c>
      <c r="K160" s="174"/>
      <c r="L160" s="205" t="s">
        <v>30</v>
      </c>
      <c r="M160" s="64"/>
      <c r="N160" s="58">
        <f>J160*0.489</f>
        <v>2.8694520000000001E-2</v>
      </c>
      <c r="O160" s="97"/>
      <c r="P160" s="222" t="s">
        <v>461</v>
      </c>
      <c r="Q160" s="183">
        <f>N160*0.375</f>
        <v>1.0760445E-2</v>
      </c>
      <c r="R160" s="16" t="s">
        <v>209</v>
      </c>
      <c r="S160" s="42">
        <v>1</v>
      </c>
      <c r="T160" s="37" t="b">
        <v>0</v>
      </c>
      <c r="U160" s="84" cm="1">
        <f t="array" ref="U160">SUMPRODUCT(S160:S165,--T160:T165)</f>
        <v>0</v>
      </c>
      <c r="V160" s="85" cm="1">
        <f t="array" ref="V160">IF(
 6=0,
  "",
  _xlfn.IFS(
    U160/6&gt;=0.8, 5,
    U160/6&gt;=0.6, 4,
    U160/6&gt;=0.4, 3,
    U160/6&gt;=0.2, 2,
    U160/6&gt;=0.1, 1,
    TRUE, 0
  )
)</f>
        <v>0</v>
      </c>
      <c r="W160" s="152">
        <f>V160/5*Q160*100</f>
        <v>0</v>
      </c>
      <c r="X160" s="239" t="s">
        <v>157</v>
      </c>
    </row>
    <row r="161" spans="2:24" ht="21" x14ac:dyDescent="0.45">
      <c r="B161" s="230"/>
      <c r="C161" s="70"/>
      <c r="D161" s="70"/>
      <c r="E161" s="215"/>
      <c r="F161" s="24"/>
      <c r="G161" s="58"/>
      <c r="H161" s="208"/>
      <c r="I161" s="30"/>
      <c r="J161" s="144"/>
      <c r="K161" s="175"/>
      <c r="L161" s="210"/>
      <c r="M161" s="64"/>
      <c r="N161" s="64"/>
      <c r="O161" s="98"/>
      <c r="P161" s="225"/>
      <c r="Q161" s="122"/>
      <c r="R161" s="16" t="s">
        <v>210</v>
      </c>
      <c r="S161" s="42">
        <v>1</v>
      </c>
      <c r="T161" s="37" t="b">
        <v>0</v>
      </c>
      <c r="U161" s="91"/>
      <c r="V161" s="91"/>
      <c r="W161" s="159"/>
      <c r="X161" s="240"/>
    </row>
    <row r="162" spans="2:24" ht="21" x14ac:dyDescent="0.45">
      <c r="B162" s="230"/>
      <c r="C162" s="70"/>
      <c r="D162" s="70"/>
      <c r="E162" s="215"/>
      <c r="F162" s="24"/>
      <c r="G162" s="58"/>
      <c r="H162" s="208"/>
      <c r="I162" s="30"/>
      <c r="J162" s="144"/>
      <c r="K162" s="175"/>
      <c r="L162" s="210"/>
      <c r="M162" s="64"/>
      <c r="N162" s="64"/>
      <c r="O162" s="98"/>
      <c r="P162" s="225"/>
      <c r="Q162" s="122"/>
      <c r="R162" s="16" t="s">
        <v>211</v>
      </c>
      <c r="S162" s="42">
        <v>1</v>
      </c>
      <c r="T162" s="37" t="b">
        <v>0</v>
      </c>
      <c r="U162" s="91"/>
      <c r="V162" s="91"/>
      <c r="W162" s="159"/>
      <c r="X162" s="240"/>
    </row>
    <row r="163" spans="2:24" ht="21" x14ac:dyDescent="0.45">
      <c r="B163" s="230"/>
      <c r="C163" s="70"/>
      <c r="D163" s="70"/>
      <c r="E163" s="215"/>
      <c r="F163" s="24"/>
      <c r="G163" s="58"/>
      <c r="H163" s="208"/>
      <c r="I163" s="30"/>
      <c r="J163" s="144"/>
      <c r="K163" s="175"/>
      <c r="L163" s="210"/>
      <c r="M163" s="64"/>
      <c r="N163" s="64"/>
      <c r="O163" s="98"/>
      <c r="P163" s="225"/>
      <c r="Q163" s="122"/>
      <c r="R163" s="16" t="s">
        <v>212</v>
      </c>
      <c r="S163" s="42">
        <v>1</v>
      </c>
      <c r="T163" s="37" t="b">
        <v>0</v>
      </c>
      <c r="U163" s="91"/>
      <c r="V163" s="91"/>
      <c r="W163" s="159"/>
      <c r="X163" s="240"/>
    </row>
    <row r="164" spans="2:24" ht="21" x14ac:dyDescent="0.45">
      <c r="B164" s="230"/>
      <c r="C164" s="70"/>
      <c r="D164" s="70"/>
      <c r="E164" s="215"/>
      <c r="F164" s="24"/>
      <c r="G164" s="58"/>
      <c r="H164" s="208"/>
      <c r="I164" s="30"/>
      <c r="J164" s="144"/>
      <c r="K164" s="175"/>
      <c r="L164" s="210"/>
      <c r="M164" s="64"/>
      <c r="N164" s="64"/>
      <c r="O164" s="98"/>
      <c r="P164" s="225"/>
      <c r="Q164" s="122"/>
      <c r="R164" s="16" t="s">
        <v>213</v>
      </c>
      <c r="S164" s="42">
        <v>1</v>
      </c>
      <c r="T164" s="37" t="b">
        <v>0</v>
      </c>
      <c r="U164" s="91"/>
      <c r="V164" s="91"/>
      <c r="W164" s="159"/>
      <c r="X164" s="240"/>
    </row>
    <row r="165" spans="2:24" ht="21" x14ac:dyDescent="0.45">
      <c r="B165" s="230"/>
      <c r="C165" s="70"/>
      <c r="D165" s="70"/>
      <c r="E165" s="215"/>
      <c r="F165" s="24"/>
      <c r="G165" s="58"/>
      <c r="H165" s="208"/>
      <c r="I165" s="30"/>
      <c r="J165" s="144"/>
      <c r="K165" s="175"/>
      <c r="L165" s="210"/>
      <c r="M165" s="64"/>
      <c r="N165" s="64"/>
      <c r="O165" s="98"/>
      <c r="P165" s="226"/>
      <c r="Q165" s="122"/>
      <c r="R165" s="16" t="s">
        <v>214</v>
      </c>
      <c r="S165" s="42">
        <v>1</v>
      </c>
      <c r="T165" s="37" t="b">
        <v>0</v>
      </c>
      <c r="U165" s="91"/>
      <c r="V165" s="91"/>
      <c r="W165" s="159"/>
      <c r="X165" s="240"/>
    </row>
    <row r="166" spans="2:24" ht="21" x14ac:dyDescent="0.45">
      <c r="B166" s="230"/>
      <c r="C166" s="70"/>
      <c r="D166" s="70"/>
      <c r="E166" s="215"/>
      <c r="F166" s="24"/>
      <c r="G166" s="58"/>
      <c r="H166" s="208"/>
      <c r="I166" s="30"/>
      <c r="J166" s="144"/>
      <c r="K166" s="175"/>
      <c r="L166" s="210"/>
      <c r="M166" s="64"/>
      <c r="N166" s="64"/>
      <c r="O166" s="98"/>
      <c r="P166" s="222" t="s">
        <v>462</v>
      </c>
      <c r="Q166" s="183">
        <f>N160*0.1875</f>
        <v>5.3802225000000002E-3</v>
      </c>
      <c r="R166" s="16" t="s">
        <v>215</v>
      </c>
      <c r="S166" s="42">
        <v>1</v>
      </c>
      <c r="T166" s="37" t="b">
        <v>0</v>
      </c>
      <c r="U166" s="84" cm="1">
        <f t="array" ref="U166">SUMPRODUCT(S166:S168,--T166:T168)</f>
        <v>0</v>
      </c>
      <c r="V166" s="85" cm="1">
        <f t="array" ref="V166">IF(
 3=0,
  "",
  _xlfn.IFS(
    U166/3&gt;=0.8, 5,
    U166/3&gt;=0.6, 4,
    U166/3&gt;=0.4, 3,
    U166/3&gt;=0.2, 2,
    U166/3&gt;=0.1, 1,
    TRUE, 0
  )
)</f>
        <v>0</v>
      </c>
      <c r="W166" s="152">
        <f>V166/5*Q166*100</f>
        <v>0</v>
      </c>
      <c r="X166" s="240"/>
    </row>
    <row r="167" spans="2:24" ht="21" x14ac:dyDescent="0.45">
      <c r="B167" s="230"/>
      <c r="C167" s="70"/>
      <c r="D167" s="70"/>
      <c r="E167" s="215"/>
      <c r="F167" s="24"/>
      <c r="G167" s="58"/>
      <c r="H167" s="208"/>
      <c r="I167" s="30"/>
      <c r="J167" s="144"/>
      <c r="K167" s="175"/>
      <c r="L167" s="210"/>
      <c r="M167" s="64"/>
      <c r="N167" s="64"/>
      <c r="O167" s="98"/>
      <c r="P167" s="223"/>
      <c r="Q167" s="122"/>
      <c r="R167" s="16" t="s">
        <v>216</v>
      </c>
      <c r="S167" s="42">
        <v>1</v>
      </c>
      <c r="T167" s="37" t="b">
        <v>0</v>
      </c>
      <c r="U167" s="91"/>
      <c r="V167" s="91"/>
      <c r="W167" s="159"/>
      <c r="X167" s="240"/>
    </row>
    <row r="168" spans="2:24" ht="21" x14ac:dyDescent="0.45">
      <c r="B168" s="230"/>
      <c r="C168" s="70"/>
      <c r="D168" s="70"/>
      <c r="E168" s="215"/>
      <c r="F168" s="24"/>
      <c r="G168" s="58"/>
      <c r="H168" s="208"/>
      <c r="I168" s="30"/>
      <c r="J168" s="144"/>
      <c r="K168" s="175"/>
      <c r="L168" s="210"/>
      <c r="M168" s="64"/>
      <c r="N168" s="64"/>
      <c r="O168" s="98"/>
      <c r="P168" s="224"/>
      <c r="Q168" s="122"/>
      <c r="R168" s="16" t="s">
        <v>217</v>
      </c>
      <c r="S168" s="42">
        <v>1</v>
      </c>
      <c r="T168" s="37" t="b">
        <v>0</v>
      </c>
      <c r="U168" s="91"/>
      <c r="V168" s="91"/>
      <c r="W168" s="159"/>
      <c r="X168" s="240"/>
    </row>
    <row r="169" spans="2:24" ht="21" x14ac:dyDescent="0.45">
      <c r="B169" s="230"/>
      <c r="C169" s="70"/>
      <c r="D169" s="70"/>
      <c r="E169" s="215"/>
      <c r="F169" s="24"/>
      <c r="G169" s="58"/>
      <c r="H169" s="208"/>
      <c r="I169" s="30"/>
      <c r="J169" s="144"/>
      <c r="K169" s="175"/>
      <c r="L169" s="210"/>
      <c r="M169" s="64"/>
      <c r="N169" s="64"/>
      <c r="O169" s="98"/>
      <c r="P169" s="222" t="s">
        <v>463</v>
      </c>
      <c r="Q169" s="122">
        <f>N160*0.4375</f>
        <v>1.25538525E-2</v>
      </c>
      <c r="R169" s="16" t="s">
        <v>218</v>
      </c>
      <c r="S169" s="42">
        <v>1</v>
      </c>
      <c r="T169" s="37" t="b">
        <v>0</v>
      </c>
      <c r="U169" s="84" cm="1">
        <f t="array" ref="U169">SUMPRODUCT(S169:S175,--T169:T175)</f>
        <v>0</v>
      </c>
      <c r="V169" s="85" cm="1">
        <f t="array" ref="V169">IF(
 7=0,
  "",
  _xlfn.IFS(
    U169/7&gt;=0.8, 5,
    U169/7&gt;=0.6, 4,
    U169/7&gt;=0.4, 3,
    U169/7&gt;=0.2, 2,
    U169/7&gt;=0.1, 1,
    TRUE, 0
  )
)</f>
        <v>0</v>
      </c>
      <c r="W169" s="152">
        <f>V169/5*Q169*100</f>
        <v>0</v>
      </c>
      <c r="X169" s="240"/>
    </row>
    <row r="170" spans="2:24" ht="21" x14ac:dyDescent="0.45">
      <c r="B170" s="230"/>
      <c r="C170" s="70"/>
      <c r="D170" s="70"/>
      <c r="E170" s="215"/>
      <c r="F170" s="24"/>
      <c r="G170" s="58"/>
      <c r="H170" s="208"/>
      <c r="I170" s="30"/>
      <c r="J170" s="144"/>
      <c r="K170" s="175"/>
      <c r="L170" s="210"/>
      <c r="M170" s="64"/>
      <c r="N170" s="64"/>
      <c r="O170" s="98"/>
      <c r="P170" s="223"/>
      <c r="Q170" s="122"/>
      <c r="R170" s="16" t="s">
        <v>219</v>
      </c>
      <c r="S170" s="42">
        <v>1</v>
      </c>
      <c r="T170" s="37" t="b">
        <v>0</v>
      </c>
      <c r="U170" s="91"/>
      <c r="V170" s="91"/>
      <c r="W170" s="159"/>
      <c r="X170" s="240"/>
    </row>
    <row r="171" spans="2:24" ht="21" x14ac:dyDescent="0.45">
      <c r="B171" s="230"/>
      <c r="C171" s="70"/>
      <c r="D171" s="70"/>
      <c r="E171" s="215"/>
      <c r="F171" s="24"/>
      <c r="G171" s="58"/>
      <c r="H171" s="208"/>
      <c r="I171" s="30"/>
      <c r="J171" s="144"/>
      <c r="K171" s="175"/>
      <c r="L171" s="210"/>
      <c r="M171" s="64"/>
      <c r="N171" s="64"/>
      <c r="O171" s="98"/>
      <c r="P171" s="223"/>
      <c r="Q171" s="122"/>
      <c r="R171" s="16" t="s">
        <v>220</v>
      </c>
      <c r="S171" s="42">
        <v>1</v>
      </c>
      <c r="T171" s="37" t="b">
        <v>0</v>
      </c>
      <c r="U171" s="91"/>
      <c r="V171" s="91"/>
      <c r="W171" s="159"/>
      <c r="X171" s="240"/>
    </row>
    <row r="172" spans="2:24" ht="21" x14ac:dyDescent="0.45">
      <c r="B172" s="230"/>
      <c r="C172" s="70"/>
      <c r="D172" s="70"/>
      <c r="E172" s="215"/>
      <c r="F172" s="24"/>
      <c r="G172" s="58"/>
      <c r="H172" s="208"/>
      <c r="I172" s="30"/>
      <c r="J172" s="144"/>
      <c r="K172" s="175"/>
      <c r="L172" s="210"/>
      <c r="M172" s="64"/>
      <c r="N172" s="64"/>
      <c r="O172" s="98"/>
      <c r="P172" s="223"/>
      <c r="Q172" s="122"/>
      <c r="R172" s="16" t="s">
        <v>221</v>
      </c>
      <c r="S172" s="42">
        <v>1</v>
      </c>
      <c r="T172" s="37" t="b">
        <v>0</v>
      </c>
      <c r="U172" s="91"/>
      <c r="V172" s="91"/>
      <c r="W172" s="159"/>
      <c r="X172" s="240"/>
    </row>
    <row r="173" spans="2:24" ht="21" x14ac:dyDescent="0.45">
      <c r="B173" s="230"/>
      <c r="C173" s="70"/>
      <c r="D173" s="70"/>
      <c r="E173" s="215"/>
      <c r="F173" s="24"/>
      <c r="G173" s="58"/>
      <c r="H173" s="208"/>
      <c r="I173" s="30"/>
      <c r="J173" s="144"/>
      <c r="K173" s="175"/>
      <c r="L173" s="210"/>
      <c r="M173" s="64"/>
      <c r="N173" s="64"/>
      <c r="O173" s="98"/>
      <c r="P173" s="223"/>
      <c r="Q173" s="122"/>
      <c r="R173" s="16" t="s">
        <v>222</v>
      </c>
      <c r="S173" s="42">
        <v>1</v>
      </c>
      <c r="T173" s="37" t="b">
        <v>0</v>
      </c>
      <c r="U173" s="91"/>
      <c r="V173" s="91"/>
      <c r="W173" s="159"/>
      <c r="X173" s="240"/>
    </row>
    <row r="174" spans="2:24" ht="21" x14ac:dyDescent="0.45">
      <c r="B174" s="230"/>
      <c r="C174" s="70"/>
      <c r="D174" s="70"/>
      <c r="E174" s="215"/>
      <c r="F174" s="24"/>
      <c r="G174" s="58"/>
      <c r="H174" s="208"/>
      <c r="I174" s="30"/>
      <c r="J174" s="144"/>
      <c r="K174" s="175"/>
      <c r="L174" s="210"/>
      <c r="M174" s="64"/>
      <c r="N174" s="64"/>
      <c r="O174" s="98"/>
      <c r="P174" s="223"/>
      <c r="Q174" s="122"/>
      <c r="R174" s="16" t="s">
        <v>223</v>
      </c>
      <c r="S174" s="42">
        <v>1</v>
      </c>
      <c r="T174" s="37" t="b">
        <v>0</v>
      </c>
      <c r="U174" s="91"/>
      <c r="V174" s="91"/>
      <c r="W174" s="159"/>
      <c r="X174" s="240"/>
    </row>
    <row r="175" spans="2:24" ht="21" x14ac:dyDescent="0.45">
      <c r="B175" s="230"/>
      <c r="C175" s="70"/>
      <c r="D175" s="70"/>
      <c r="E175" s="215"/>
      <c r="F175" s="24"/>
      <c r="G175" s="58"/>
      <c r="H175" s="208"/>
      <c r="I175" s="30"/>
      <c r="J175" s="144"/>
      <c r="K175" s="175"/>
      <c r="L175" s="206"/>
      <c r="M175" s="63"/>
      <c r="N175" s="63"/>
      <c r="O175" s="99"/>
      <c r="P175" s="224"/>
      <c r="Q175" s="122"/>
      <c r="R175" s="16" t="s">
        <v>224</v>
      </c>
      <c r="S175" s="42">
        <v>1</v>
      </c>
      <c r="T175" s="37" t="b">
        <v>0</v>
      </c>
      <c r="U175" s="93"/>
      <c r="V175" s="93"/>
      <c r="W175" s="159"/>
      <c r="X175" s="241"/>
    </row>
    <row r="176" spans="2:24" ht="21" x14ac:dyDescent="0.45">
      <c r="B176" s="230"/>
      <c r="C176" s="70"/>
      <c r="D176" s="70"/>
      <c r="E176" s="215"/>
      <c r="F176" s="24"/>
      <c r="G176" s="58"/>
      <c r="H176" s="208"/>
      <c r="I176" s="30"/>
      <c r="J176" s="144"/>
      <c r="K176" s="175"/>
      <c r="L176" s="205" t="s">
        <v>31</v>
      </c>
      <c r="M176" s="62"/>
      <c r="N176" s="58">
        <f>J160*0.511</f>
        <v>2.9985480000000002E-2</v>
      </c>
      <c r="O176" s="97"/>
      <c r="P176" s="198" t="s">
        <v>230</v>
      </c>
      <c r="Q176" s="118">
        <f>N176*0.5</f>
        <v>1.4992740000000001E-2</v>
      </c>
      <c r="R176" s="16" t="s">
        <v>232</v>
      </c>
      <c r="S176" s="42">
        <v>3</v>
      </c>
      <c r="T176" s="37" t="b">
        <v>0</v>
      </c>
      <c r="U176" s="84" cm="1">
        <f t="array" ref="U176">SUMPRODUCT(S176:S179,--T176:T179)</f>
        <v>0</v>
      </c>
      <c r="V176" s="85"/>
      <c r="W176" s="152">
        <f>U176/S176*Q176*100</f>
        <v>0</v>
      </c>
      <c r="X176" s="6"/>
    </row>
    <row r="177" spans="2:28" ht="21" x14ac:dyDescent="0.45">
      <c r="B177" s="230"/>
      <c r="C177" s="70"/>
      <c r="D177" s="70"/>
      <c r="E177" s="215"/>
      <c r="F177" s="24"/>
      <c r="G177" s="58"/>
      <c r="H177" s="208"/>
      <c r="I177" s="30"/>
      <c r="J177" s="144"/>
      <c r="K177" s="175"/>
      <c r="L177" s="210"/>
      <c r="M177" s="64"/>
      <c r="N177" s="64"/>
      <c r="O177" s="98"/>
      <c r="P177" s="199"/>
      <c r="Q177" s="119"/>
      <c r="R177" s="16" t="s">
        <v>231</v>
      </c>
      <c r="S177" s="42">
        <v>2</v>
      </c>
      <c r="T177" s="37" t="b">
        <v>0</v>
      </c>
      <c r="U177" s="91"/>
      <c r="V177" s="91"/>
      <c r="W177" s="158"/>
      <c r="X177" s="6"/>
    </row>
    <row r="178" spans="2:28" ht="21" x14ac:dyDescent="0.45">
      <c r="B178" s="230"/>
      <c r="C178" s="70"/>
      <c r="D178" s="70"/>
      <c r="E178" s="215"/>
      <c r="F178" s="24"/>
      <c r="G178" s="58"/>
      <c r="H178" s="208"/>
      <c r="I178" s="30"/>
      <c r="J178" s="144"/>
      <c r="K178" s="175"/>
      <c r="L178" s="210"/>
      <c r="M178" s="64"/>
      <c r="N178" s="64"/>
      <c r="O178" s="98"/>
      <c r="P178" s="199"/>
      <c r="Q178" s="119"/>
      <c r="R178" s="16" t="s">
        <v>225</v>
      </c>
      <c r="S178" s="42">
        <v>1</v>
      </c>
      <c r="T178" s="37" t="b">
        <v>0</v>
      </c>
      <c r="U178" s="91"/>
      <c r="V178" s="91"/>
      <c r="W178" s="158"/>
      <c r="X178" s="6"/>
    </row>
    <row r="179" spans="2:28" ht="21" x14ac:dyDescent="0.45">
      <c r="B179" s="230"/>
      <c r="C179" s="70"/>
      <c r="D179" s="70"/>
      <c r="E179" s="215"/>
      <c r="F179" s="24"/>
      <c r="G179" s="58"/>
      <c r="H179" s="208"/>
      <c r="I179" s="30"/>
      <c r="J179" s="144"/>
      <c r="K179" s="175"/>
      <c r="L179" s="210"/>
      <c r="M179" s="64"/>
      <c r="N179" s="64"/>
      <c r="O179" s="98"/>
      <c r="P179" s="200"/>
      <c r="Q179" s="120"/>
      <c r="R179" s="16" t="s">
        <v>278</v>
      </c>
      <c r="S179" s="42">
        <v>0</v>
      </c>
      <c r="T179" s="37" t="b">
        <v>0</v>
      </c>
      <c r="U179" s="93"/>
      <c r="V179" s="93"/>
      <c r="W179" s="158"/>
      <c r="X179" s="6"/>
    </row>
    <row r="180" spans="2:28" ht="21" x14ac:dyDescent="0.45">
      <c r="B180" s="230"/>
      <c r="C180" s="70"/>
      <c r="D180" s="70"/>
      <c r="E180" s="215"/>
      <c r="F180" s="24"/>
      <c r="G180" s="58"/>
      <c r="H180" s="208"/>
      <c r="I180" s="30"/>
      <c r="J180" s="144"/>
      <c r="K180" s="175"/>
      <c r="L180" s="210"/>
      <c r="M180" s="64"/>
      <c r="N180" s="64"/>
      <c r="O180" s="98"/>
      <c r="P180" s="198" t="s">
        <v>226</v>
      </c>
      <c r="Q180" s="118">
        <f>N176*0.5</f>
        <v>1.4992740000000001E-2</v>
      </c>
      <c r="R180" s="16" t="s">
        <v>229</v>
      </c>
      <c r="S180" s="42">
        <v>2</v>
      </c>
      <c r="T180" s="37" t="b">
        <v>0</v>
      </c>
      <c r="U180" s="84" cm="1">
        <f t="array" ref="U180">SUMPRODUCT(S180:S182,--T180:T182)</f>
        <v>0</v>
      </c>
      <c r="V180" s="85"/>
      <c r="W180" s="152">
        <f>U180/S180*Q180*100</f>
        <v>0</v>
      </c>
      <c r="X180" s="6"/>
    </row>
    <row r="181" spans="2:28" ht="21" x14ac:dyDescent="0.45">
      <c r="B181" s="230"/>
      <c r="C181" s="70"/>
      <c r="D181" s="70"/>
      <c r="E181" s="215"/>
      <c r="F181" s="24"/>
      <c r="G181" s="58"/>
      <c r="H181" s="208"/>
      <c r="I181" s="30"/>
      <c r="J181" s="144"/>
      <c r="K181" s="175"/>
      <c r="L181" s="210"/>
      <c r="M181" s="64"/>
      <c r="N181" s="64"/>
      <c r="O181" s="98"/>
      <c r="P181" s="199"/>
      <c r="Q181" s="114"/>
      <c r="R181" s="16" t="s">
        <v>227</v>
      </c>
      <c r="S181" s="42">
        <v>1</v>
      </c>
      <c r="T181" s="37" t="b">
        <v>0</v>
      </c>
      <c r="U181" s="91"/>
      <c r="V181" s="91"/>
      <c r="W181" s="158"/>
      <c r="X181" s="6"/>
    </row>
    <row r="182" spans="2:28" ht="21" x14ac:dyDescent="0.45">
      <c r="B182" s="230"/>
      <c r="C182" s="70"/>
      <c r="D182" s="70"/>
      <c r="E182" s="216"/>
      <c r="F182" s="25"/>
      <c r="G182" s="59"/>
      <c r="H182" s="209"/>
      <c r="I182" s="31"/>
      <c r="J182" s="145"/>
      <c r="K182" s="176"/>
      <c r="L182" s="206"/>
      <c r="M182" s="63"/>
      <c r="N182" s="63"/>
      <c r="O182" s="99"/>
      <c r="P182" s="200"/>
      <c r="Q182" s="115"/>
      <c r="R182" s="16" t="s">
        <v>228</v>
      </c>
      <c r="S182" s="42">
        <v>0</v>
      </c>
      <c r="T182" s="37" t="b">
        <v>0</v>
      </c>
      <c r="U182" s="93"/>
      <c r="V182" s="93"/>
      <c r="W182" s="158"/>
      <c r="X182" s="6"/>
    </row>
    <row r="183" spans="2:28" ht="21" x14ac:dyDescent="0.45">
      <c r="B183" s="230"/>
      <c r="C183" s="70"/>
      <c r="D183" s="70"/>
      <c r="E183" s="232" t="s">
        <v>272</v>
      </c>
      <c r="F183" s="23"/>
      <c r="G183" s="74">
        <f>D92*0.244</f>
        <v>0.1464</v>
      </c>
      <c r="H183" s="207" t="s">
        <v>273</v>
      </c>
      <c r="I183" s="29"/>
      <c r="J183" s="132">
        <f>G183*0.6</f>
        <v>8.7840000000000001E-2</v>
      </c>
      <c r="K183" s="174"/>
      <c r="L183" s="205" t="s">
        <v>32</v>
      </c>
      <c r="M183" s="64"/>
      <c r="N183" s="58">
        <f>J183*0.151</f>
        <v>1.3263839999999999E-2</v>
      </c>
      <c r="O183" s="97"/>
      <c r="P183" s="8"/>
      <c r="Q183" s="122"/>
      <c r="R183" s="16" t="s">
        <v>233</v>
      </c>
      <c r="S183" s="44">
        <v>4</v>
      </c>
      <c r="T183" s="37" t="b">
        <v>0</v>
      </c>
      <c r="U183" s="84" cm="1">
        <f t="array" ref="U183">SUMPRODUCT(S183:S187,--T183:T187)</f>
        <v>0</v>
      </c>
      <c r="V183" s="85"/>
      <c r="W183" s="152">
        <f>U183/S183*N183*100</f>
        <v>0</v>
      </c>
      <c r="X183" s="6"/>
    </row>
    <row r="184" spans="2:28" ht="21" x14ac:dyDescent="0.45">
      <c r="B184" s="230"/>
      <c r="C184" s="70"/>
      <c r="D184" s="70"/>
      <c r="E184" s="215"/>
      <c r="F184" s="24"/>
      <c r="G184" s="58"/>
      <c r="H184" s="208"/>
      <c r="I184" s="30"/>
      <c r="J184" s="146"/>
      <c r="K184" s="177"/>
      <c r="L184" s="210"/>
      <c r="M184" s="64"/>
      <c r="N184" s="64"/>
      <c r="O184" s="98"/>
      <c r="P184" s="8"/>
      <c r="Q184" s="122"/>
      <c r="R184" s="16" t="s">
        <v>234</v>
      </c>
      <c r="S184" s="42">
        <v>3</v>
      </c>
      <c r="T184" s="37" t="b">
        <v>0</v>
      </c>
      <c r="U184" s="91"/>
      <c r="V184" s="91"/>
      <c r="W184" s="158"/>
      <c r="X184" s="6"/>
    </row>
    <row r="185" spans="2:28" ht="21" x14ac:dyDescent="0.45">
      <c r="B185" s="230"/>
      <c r="C185" s="70"/>
      <c r="D185" s="70"/>
      <c r="E185" s="215"/>
      <c r="F185" s="24"/>
      <c r="G185" s="58"/>
      <c r="H185" s="208"/>
      <c r="I185" s="30"/>
      <c r="J185" s="146"/>
      <c r="K185" s="177"/>
      <c r="L185" s="210"/>
      <c r="M185" s="64"/>
      <c r="N185" s="64"/>
      <c r="O185" s="98"/>
      <c r="P185" s="8"/>
      <c r="Q185" s="122"/>
      <c r="R185" s="16" t="s">
        <v>235</v>
      </c>
      <c r="S185" s="42">
        <v>2</v>
      </c>
      <c r="T185" s="37" t="b">
        <v>0</v>
      </c>
      <c r="U185" s="91"/>
      <c r="V185" s="91"/>
      <c r="W185" s="158"/>
      <c r="X185" s="6"/>
    </row>
    <row r="186" spans="2:28" ht="21" x14ac:dyDescent="0.45">
      <c r="B186" s="230"/>
      <c r="C186" s="70"/>
      <c r="D186" s="70"/>
      <c r="E186" s="215"/>
      <c r="F186" s="24"/>
      <c r="G186" s="58"/>
      <c r="H186" s="208"/>
      <c r="I186" s="30"/>
      <c r="J186" s="146"/>
      <c r="K186" s="177"/>
      <c r="L186" s="210"/>
      <c r="M186" s="64"/>
      <c r="N186" s="64"/>
      <c r="O186" s="98"/>
      <c r="P186" s="8"/>
      <c r="Q186" s="122"/>
      <c r="R186" s="16" t="s">
        <v>236</v>
      </c>
      <c r="S186" s="42">
        <v>1</v>
      </c>
      <c r="T186" s="37" t="b">
        <v>0</v>
      </c>
      <c r="U186" s="91"/>
      <c r="V186" s="91"/>
      <c r="W186" s="158"/>
      <c r="X186" s="6"/>
    </row>
    <row r="187" spans="2:28" ht="21" x14ac:dyDescent="0.45">
      <c r="B187" s="230"/>
      <c r="C187" s="70"/>
      <c r="D187" s="70"/>
      <c r="E187" s="215"/>
      <c r="F187" s="24"/>
      <c r="G187" s="58"/>
      <c r="H187" s="208"/>
      <c r="I187" s="30"/>
      <c r="J187" s="146"/>
      <c r="K187" s="177"/>
      <c r="L187" s="206"/>
      <c r="M187" s="63"/>
      <c r="N187" s="63"/>
      <c r="O187" s="99"/>
      <c r="P187" s="8"/>
      <c r="Q187" s="122"/>
      <c r="R187" s="16" t="s">
        <v>237</v>
      </c>
      <c r="S187" s="42">
        <v>0</v>
      </c>
      <c r="T187" s="37" t="b">
        <v>0</v>
      </c>
      <c r="U187" s="93"/>
      <c r="V187" s="93"/>
      <c r="W187" s="158"/>
      <c r="X187" s="6"/>
    </row>
    <row r="188" spans="2:28" ht="21" x14ac:dyDescent="0.45">
      <c r="B188" s="230"/>
      <c r="C188" s="70"/>
      <c r="D188" s="70"/>
      <c r="E188" s="215"/>
      <c r="F188" s="24"/>
      <c r="G188" s="58"/>
      <c r="H188" s="208"/>
      <c r="I188" s="30"/>
      <c r="J188" s="146"/>
      <c r="K188" s="177"/>
      <c r="L188" s="205" t="s">
        <v>33</v>
      </c>
      <c r="M188" s="64"/>
      <c r="N188" s="58">
        <f>J183*0.173</f>
        <v>1.5196319999999999E-2</v>
      </c>
      <c r="O188" s="97"/>
      <c r="P188" s="8"/>
      <c r="Q188" s="122"/>
      <c r="R188" s="16" t="s">
        <v>241</v>
      </c>
      <c r="S188" s="42">
        <v>3</v>
      </c>
      <c r="T188" s="37" t="b">
        <v>0</v>
      </c>
      <c r="U188" s="84" cm="1">
        <f t="array" ref="U188">SUMPRODUCT(S188:S191,--T188:T191)</f>
        <v>0</v>
      </c>
      <c r="V188" s="85"/>
      <c r="W188" s="152">
        <f>U188/S188*N188*100</f>
        <v>0</v>
      </c>
      <c r="X188" s="6"/>
    </row>
    <row r="189" spans="2:28" ht="21" x14ac:dyDescent="0.45">
      <c r="B189" s="230"/>
      <c r="C189" s="70"/>
      <c r="D189" s="70"/>
      <c r="E189" s="215"/>
      <c r="F189" s="24"/>
      <c r="G189" s="58"/>
      <c r="H189" s="208"/>
      <c r="I189" s="30"/>
      <c r="J189" s="146"/>
      <c r="K189" s="177"/>
      <c r="L189" s="210"/>
      <c r="M189" s="64"/>
      <c r="N189" s="64"/>
      <c r="O189" s="98"/>
      <c r="P189" s="8"/>
      <c r="Q189" s="122"/>
      <c r="R189" s="16" t="s">
        <v>242</v>
      </c>
      <c r="S189" s="42">
        <v>2</v>
      </c>
      <c r="T189" s="37" t="b">
        <v>0</v>
      </c>
      <c r="U189" s="91"/>
      <c r="V189" s="91"/>
      <c r="W189" s="158"/>
      <c r="X189" s="6"/>
    </row>
    <row r="190" spans="2:28" ht="21" x14ac:dyDescent="0.45">
      <c r="B190" s="230"/>
      <c r="C190" s="70"/>
      <c r="D190" s="70"/>
      <c r="E190" s="215"/>
      <c r="F190" s="24"/>
      <c r="G190" s="58"/>
      <c r="H190" s="208"/>
      <c r="I190" s="30"/>
      <c r="J190" s="146"/>
      <c r="K190" s="177"/>
      <c r="L190" s="210"/>
      <c r="M190" s="64"/>
      <c r="N190" s="64"/>
      <c r="O190" s="98"/>
      <c r="P190" s="8"/>
      <c r="Q190" s="122"/>
      <c r="R190" s="16" t="s">
        <v>240</v>
      </c>
      <c r="S190" s="42">
        <v>1</v>
      </c>
      <c r="T190" s="37" t="b">
        <v>0</v>
      </c>
      <c r="U190" s="91"/>
      <c r="V190" s="91"/>
      <c r="W190" s="158"/>
      <c r="X190" s="6"/>
    </row>
    <row r="191" spans="2:28" ht="21.5" thickBot="1" x14ac:dyDescent="0.5">
      <c r="B191" s="230"/>
      <c r="C191" s="70"/>
      <c r="D191" s="70"/>
      <c r="E191" s="215"/>
      <c r="F191" s="24"/>
      <c r="G191" s="58"/>
      <c r="H191" s="208"/>
      <c r="I191" s="30"/>
      <c r="J191" s="146"/>
      <c r="K191" s="177"/>
      <c r="L191" s="206"/>
      <c r="M191" s="63"/>
      <c r="N191" s="63"/>
      <c r="O191" s="99"/>
      <c r="P191" s="8"/>
      <c r="Q191" s="122"/>
      <c r="R191" s="16" t="s">
        <v>239</v>
      </c>
      <c r="S191" s="42">
        <v>0</v>
      </c>
      <c r="T191" s="37" t="b">
        <v>0</v>
      </c>
      <c r="U191" s="93"/>
      <c r="V191" s="93"/>
      <c r="W191" s="158"/>
      <c r="X191" s="6"/>
    </row>
    <row r="192" spans="2:28" ht="21.5" thickBot="1" x14ac:dyDescent="0.5">
      <c r="B192" s="230"/>
      <c r="C192" s="70"/>
      <c r="D192" s="70"/>
      <c r="E192" s="215"/>
      <c r="F192" s="24"/>
      <c r="G192" s="58"/>
      <c r="H192" s="208"/>
      <c r="I192" s="30"/>
      <c r="J192" s="146"/>
      <c r="K192" s="177"/>
      <c r="L192" s="205" t="s">
        <v>34</v>
      </c>
      <c r="M192" s="62"/>
      <c r="N192" s="58">
        <f>J183*0.236</f>
        <v>2.073024E-2</v>
      </c>
      <c r="O192" s="203" t="s">
        <v>243</v>
      </c>
      <c r="P192" s="8"/>
      <c r="Q192" s="116"/>
      <c r="R192" s="16" t="s">
        <v>244</v>
      </c>
      <c r="S192" s="42">
        <v>1</v>
      </c>
      <c r="T192" s="37" t="b">
        <v>0</v>
      </c>
      <c r="U192" s="84" cm="1">
        <f t="array" ref="U192">SUMPRODUCT(S192:S196,--T192:T196)</f>
        <v>0</v>
      </c>
      <c r="V192" s="85" cm="1">
        <f t="array" ref="V192">IF(
 5=0,
  "",
  _xlfn.IFS(
    U192/5&gt;=0.8, 5,
    U192/5&gt;=0.6, 4,
    U192/5&gt;=0.4, 3,
    U192/5&gt;=0.2, 2,
    U192/5&gt;=0.1, 1,
    TRUE, 0
  )
)</f>
        <v>0</v>
      </c>
      <c r="W192" s="152">
        <f>V192/5*N192*100</f>
        <v>0</v>
      </c>
      <c r="X192" s="244" t="s">
        <v>157</v>
      </c>
      <c r="Y192" s="194" t="s">
        <v>492</v>
      </c>
      <c r="Z192" s="190" t="s">
        <v>490</v>
      </c>
      <c r="AA192" s="188" t="s">
        <v>487</v>
      </c>
      <c r="AB192" s="189" t="s">
        <v>488</v>
      </c>
    </row>
    <row r="193" spans="2:28" ht="21" x14ac:dyDescent="0.45">
      <c r="B193" s="230"/>
      <c r="C193" s="70"/>
      <c r="D193" s="70"/>
      <c r="E193" s="215"/>
      <c r="F193" s="24"/>
      <c r="G193" s="58"/>
      <c r="H193" s="208"/>
      <c r="I193" s="30"/>
      <c r="J193" s="146"/>
      <c r="K193" s="177"/>
      <c r="L193" s="210"/>
      <c r="M193" s="64"/>
      <c r="N193" s="242" t="s">
        <v>447</v>
      </c>
      <c r="O193" s="203"/>
      <c r="P193" s="8"/>
      <c r="Q193" s="116"/>
      <c r="R193" s="16" t="s">
        <v>245</v>
      </c>
      <c r="S193" s="42">
        <v>1</v>
      </c>
      <c r="T193" s="37" t="b">
        <v>0</v>
      </c>
      <c r="U193" s="91"/>
      <c r="V193" s="91"/>
      <c r="W193" s="159"/>
      <c r="X193" s="240"/>
      <c r="Z193" s="193" t="s">
        <v>482</v>
      </c>
      <c r="AA193" s="192">
        <v>100</v>
      </c>
      <c r="AB193" s="185">
        <f>SUMPRODUCT(W192*(AA193/100))</f>
        <v>0</v>
      </c>
    </row>
    <row r="194" spans="2:28" ht="21" x14ac:dyDescent="0.45">
      <c r="B194" s="230"/>
      <c r="C194" s="70"/>
      <c r="D194" s="70"/>
      <c r="E194" s="215"/>
      <c r="F194" s="24"/>
      <c r="G194" s="58"/>
      <c r="H194" s="208"/>
      <c r="I194" s="30"/>
      <c r="J194" s="146"/>
      <c r="K194" s="177"/>
      <c r="L194" s="210"/>
      <c r="M194" s="64"/>
      <c r="N194" s="242"/>
      <c r="O194" s="203"/>
      <c r="P194" s="8"/>
      <c r="Q194" s="116"/>
      <c r="R194" s="16" t="s">
        <v>246</v>
      </c>
      <c r="S194" s="42">
        <v>1</v>
      </c>
      <c r="T194" s="37" t="b">
        <v>0</v>
      </c>
      <c r="U194" s="91"/>
      <c r="V194" s="91"/>
      <c r="W194" s="159"/>
      <c r="X194" s="240"/>
      <c r="Z194" s="193" t="s">
        <v>483</v>
      </c>
      <c r="AA194" s="192"/>
      <c r="AB194" s="185">
        <f>SUMPRODUCT(W197*(AA194/100))</f>
        <v>0</v>
      </c>
    </row>
    <row r="195" spans="2:28" ht="21" x14ac:dyDescent="0.45">
      <c r="B195" s="230"/>
      <c r="C195" s="70"/>
      <c r="D195" s="70"/>
      <c r="E195" s="215"/>
      <c r="F195" s="24"/>
      <c r="G195" s="58"/>
      <c r="H195" s="208"/>
      <c r="I195" s="30"/>
      <c r="J195" s="146"/>
      <c r="K195" s="177"/>
      <c r="L195" s="210"/>
      <c r="M195" s="64"/>
      <c r="N195" s="242"/>
      <c r="O195" s="203"/>
      <c r="P195" s="8"/>
      <c r="Q195" s="116"/>
      <c r="R195" s="16" t="s">
        <v>247</v>
      </c>
      <c r="S195" s="42">
        <v>1</v>
      </c>
      <c r="T195" s="37" t="b">
        <v>0</v>
      </c>
      <c r="U195" s="91"/>
      <c r="V195" s="91"/>
      <c r="W195" s="159"/>
      <c r="X195" s="240"/>
      <c r="Z195" s="193" t="s">
        <v>484</v>
      </c>
      <c r="AA195" s="192"/>
      <c r="AB195" s="185">
        <f>SUMPRODUCT(W202*(AA195/100))</f>
        <v>0</v>
      </c>
    </row>
    <row r="196" spans="2:28" ht="21" x14ac:dyDescent="0.45">
      <c r="B196" s="230"/>
      <c r="C196" s="70"/>
      <c r="D196" s="70"/>
      <c r="E196" s="215"/>
      <c r="F196" s="24"/>
      <c r="G196" s="58"/>
      <c r="H196" s="208"/>
      <c r="I196" s="30"/>
      <c r="J196" s="146"/>
      <c r="K196" s="177"/>
      <c r="L196" s="210"/>
      <c r="M196" s="64"/>
      <c r="N196" s="242"/>
      <c r="O196" s="203"/>
      <c r="P196" s="8"/>
      <c r="Q196" s="116"/>
      <c r="R196" s="16" t="s">
        <v>248</v>
      </c>
      <c r="S196" s="42">
        <v>1</v>
      </c>
      <c r="T196" s="37" t="b">
        <v>0</v>
      </c>
      <c r="U196" s="93"/>
      <c r="V196" s="93"/>
      <c r="W196" s="159"/>
      <c r="X196" s="241"/>
      <c r="Z196" s="193" t="s">
        <v>485</v>
      </c>
      <c r="AA196" s="192"/>
      <c r="AB196" s="185">
        <f>SUMPRODUCT(W207*(AA196/100))</f>
        <v>0</v>
      </c>
    </row>
    <row r="197" spans="2:28" ht="21" x14ac:dyDescent="0.45">
      <c r="B197" s="230"/>
      <c r="C197" s="70"/>
      <c r="D197" s="70"/>
      <c r="E197" s="215"/>
      <c r="F197" s="24"/>
      <c r="G197" s="58"/>
      <c r="H197" s="208"/>
      <c r="I197" s="30"/>
      <c r="J197" s="146"/>
      <c r="K197" s="177"/>
      <c r="L197" s="210"/>
      <c r="M197" s="64"/>
      <c r="N197" s="242"/>
      <c r="O197" s="203" t="s">
        <v>249</v>
      </c>
      <c r="P197" s="8"/>
      <c r="Q197" s="116"/>
      <c r="R197" s="16" t="s">
        <v>251</v>
      </c>
      <c r="S197" s="42">
        <v>1</v>
      </c>
      <c r="T197" s="37" t="b">
        <v>0</v>
      </c>
      <c r="U197" s="84" cm="1">
        <f t="array" ref="U197">SUMPRODUCT(S197:S201,--T197:T201)</f>
        <v>0</v>
      </c>
      <c r="V197" s="85" cm="1">
        <f t="array" ref="V197">IF(
 5=0,
  "",
  _xlfn.IFS(
    U197/5&gt;=0.8, 5,
    U197/5&gt;=0.6, 4,
    U197/5&gt;=0.4, 3,
    U197/5&gt;=0.2, 2,
    U197/5&gt;=0.1, 1,
    TRUE, 0
  )
)</f>
        <v>0</v>
      </c>
      <c r="W197" s="152">
        <f>V197/5*N192*100</f>
        <v>0</v>
      </c>
      <c r="X197" s="239" t="s">
        <v>157</v>
      </c>
      <c r="Z197" s="193" t="s">
        <v>486</v>
      </c>
      <c r="AA197" s="192"/>
      <c r="AB197" s="185">
        <f>SUMPRODUCT(W212*(AA197/100))</f>
        <v>0</v>
      </c>
    </row>
    <row r="198" spans="2:28" ht="21.5" thickBot="1" x14ac:dyDescent="0.5">
      <c r="B198" s="230"/>
      <c r="C198" s="70"/>
      <c r="D198" s="70"/>
      <c r="E198" s="215"/>
      <c r="F198" s="24"/>
      <c r="G198" s="58"/>
      <c r="H198" s="208"/>
      <c r="I198" s="30"/>
      <c r="J198" s="146"/>
      <c r="K198" s="177"/>
      <c r="L198" s="210"/>
      <c r="M198" s="64"/>
      <c r="N198" s="242"/>
      <c r="O198" s="203"/>
      <c r="P198" s="8"/>
      <c r="Q198" s="116"/>
      <c r="R198" s="16" t="s">
        <v>252</v>
      </c>
      <c r="S198" s="42">
        <v>1</v>
      </c>
      <c r="T198" s="37" t="b">
        <v>0</v>
      </c>
      <c r="U198" s="91"/>
      <c r="V198" s="91"/>
      <c r="W198" s="159"/>
      <c r="X198" s="240"/>
      <c r="Z198" s="191" t="s">
        <v>489</v>
      </c>
      <c r="AA198" s="186">
        <v>100</v>
      </c>
      <c r="AB198" s="187">
        <f>SUM(AB193:AB197)</f>
        <v>0</v>
      </c>
    </row>
    <row r="199" spans="2:28" ht="21" x14ac:dyDescent="0.45">
      <c r="B199" s="230"/>
      <c r="C199" s="70"/>
      <c r="D199" s="70"/>
      <c r="E199" s="215"/>
      <c r="F199" s="24"/>
      <c r="G199" s="58"/>
      <c r="H199" s="208"/>
      <c r="I199" s="30"/>
      <c r="J199" s="146"/>
      <c r="K199" s="177"/>
      <c r="L199" s="210"/>
      <c r="M199" s="64"/>
      <c r="N199" s="242"/>
      <c r="O199" s="203"/>
      <c r="P199" s="8"/>
      <c r="Q199" s="116"/>
      <c r="R199" s="16" t="s">
        <v>253</v>
      </c>
      <c r="S199" s="42">
        <v>1</v>
      </c>
      <c r="T199" s="37" t="b">
        <v>0</v>
      </c>
      <c r="U199" s="91"/>
      <c r="V199" s="91"/>
      <c r="W199" s="159"/>
      <c r="X199" s="240"/>
    </row>
    <row r="200" spans="2:28" ht="21" x14ac:dyDescent="0.45">
      <c r="B200" s="230"/>
      <c r="C200" s="70"/>
      <c r="D200" s="70"/>
      <c r="E200" s="215"/>
      <c r="F200" s="24"/>
      <c r="G200" s="58"/>
      <c r="H200" s="208"/>
      <c r="I200" s="30"/>
      <c r="J200" s="146"/>
      <c r="K200" s="177"/>
      <c r="L200" s="210"/>
      <c r="M200" s="64"/>
      <c r="N200" s="242"/>
      <c r="O200" s="203"/>
      <c r="P200" s="8"/>
      <c r="Q200" s="116"/>
      <c r="R200" s="16" t="s">
        <v>254</v>
      </c>
      <c r="S200" s="42">
        <v>1</v>
      </c>
      <c r="T200" s="37" t="b">
        <v>0</v>
      </c>
      <c r="U200" s="91"/>
      <c r="V200" s="91"/>
      <c r="W200" s="159"/>
      <c r="X200" s="240"/>
    </row>
    <row r="201" spans="2:28" ht="21" x14ac:dyDescent="0.45">
      <c r="B201" s="230"/>
      <c r="C201" s="70"/>
      <c r="D201" s="70"/>
      <c r="E201" s="215"/>
      <c r="F201" s="24"/>
      <c r="G201" s="58"/>
      <c r="H201" s="208"/>
      <c r="I201" s="30"/>
      <c r="J201" s="146"/>
      <c r="K201" s="177"/>
      <c r="L201" s="210"/>
      <c r="M201" s="64"/>
      <c r="N201" s="242"/>
      <c r="O201" s="203"/>
      <c r="P201" s="8"/>
      <c r="Q201" s="116"/>
      <c r="R201" s="16" t="s">
        <v>255</v>
      </c>
      <c r="S201" s="42">
        <v>1</v>
      </c>
      <c r="T201" s="37" t="b">
        <v>0</v>
      </c>
      <c r="U201" s="93"/>
      <c r="V201" s="93"/>
      <c r="W201" s="159"/>
      <c r="X201" s="241"/>
    </row>
    <row r="202" spans="2:28" ht="21" x14ac:dyDescent="0.45">
      <c r="B202" s="230"/>
      <c r="C202" s="70"/>
      <c r="D202" s="70"/>
      <c r="E202" s="215"/>
      <c r="F202" s="24"/>
      <c r="G202" s="58"/>
      <c r="H202" s="208"/>
      <c r="I202" s="30"/>
      <c r="J202" s="146"/>
      <c r="K202" s="177"/>
      <c r="L202" s="210"/>
      <c r="M202" s="64"/>
      <c r="N202" s="242"/>
      <c r="O202" s="203" t="s">
        <v>250</v>
      </c>
      <c r="P202" s="8"/>
      <c r="Q202" s="116"/>
      <c r="R202" s="16" t="s">
        <v>256</v>
      </c>
      <c r="S202" s="42">
        <v>1</v>
      </c>
      <c r="T202" s="37" t="b">
        <v>0</v>
      </c>
      <c r="U202" s="84" cm="1">
        <f t="array" ref="U202">SUMPRODUCT(S202:S206,--T202:T206)</f>
        <v>0</v>
      </c>
      <c r="V202" s="85" cm="1">
        <f t="array" ref="V202">IF(
 5=0,
  "",
  _xlfn.IFS(
    U202/5&gt;=0.8, 5,
    U202/5&gt;=0.6, 4,
    U202/5&gt;=0.4, 3,
    U202/5&gt;=0.2, 2,
    U202/5&gt;=0.1, 1,
    TRUE, 0
  )
)</f>
        <v>0</v>
      </c>
      <c r="W202" s="152">
        <f>V202/5*N192*100</f>
        <v>0</v>
      </c>
      <c r="X202" s="239" t="s">
        <v>157</v>
      </c>
    </row>
    <row r="203" spans="2:28" ht="21" x14ac:dyDescent="0.45">
      <c r="B203" s="230"/>
      <c r="C203" s="70"/>
      <c r="D203" s="70"/>
      <c r="E203" s="215"/>
      <c r="F203" s="24"/>
      <c r="G203" s="58"/>
      <c r="H203" s="208"/>
      <c r="I203" s="30"/>
      <c r="J203" s="146"/>
      <c r="K203" s="177"/>
      <c r="L203" s="210"/>
      <c r="M203" s="64"/>
      <c r="N203" s="242"/>
      <c r="O203" s="203"/>
      <c r="P203" s="8"/>
      <c r="Q203" s="116"/>
      <c r="R203" s="16" t="s">
        <v>257</v>
      </c>
      <c r="S203" s="42">
        <v>1</v>
      </c>
      <c r="T203" s="37" t="b">
        <v>0</v>
      </c>
      <c r="U203" s="91"/>
      <c r="V203" s="91"/>
      <c r="W203" s="159"/>
      <c r="X203" s="240"/>
    </row>
    <row r="204" spans="2:28" ht="21" x14ac:dyDescent="0.45">
      <c r="B204" s="230"/>
      <c r="C204" s="70"/>
      <c r="D204" s="70"/>
      <c r="E204" s="215"/>
      <c r="F204" s="24"/>
      <c r="G204" s="58"/>
      <c r="H204" s="208"/>
      <c r="I204" s="30"/>
      <c r="J204" s="146"/>
      <c r="K204" s="177"/>
      <c r="L204" s="210"/>
      <c r="M204" s="64"/>
      <c r="N204" s="242"/>
      <c r="O204" s="203"/>
      <c r="P204" s="8"/>
      <c r="Q204" s="116"/>
      <c r="R204" s="16" t="s">
        <v>258</v>
      </c>
      <c r="S204" s="42">
        <v>1</v>
      </c>
      <c r="T204" s="37" t="b">
        <v>0</v>
      </c>
      <c r="U204" s="91"/>
      <c r="V204" s="91"/>
      <c r="W204" s="159"/>
      <c r="X204" s="240"/>
    </row>
    <row r="205" spans="2:28" ht="21" x14ac:dyDescent="0.45">
      <c r="B205" s="230"/>
      <c r="C205" s="70"/>
      <c r="D205" s="70"/>
      <c r="E205" s="215"/>
      <c r="F205" s="24"/>
      <c r="G205" s="58"/>
      <c r="H205" s="208"/>
      <c r="I205" s="30"/>
      <c r="J205" s="146"/>
      <c r="K205" s="177"/>
      <c r="L205" s="210"/>
      <c r="M205" s="64"/>
      <c r="N205" s="242"/>
      <c r="O205" s="203"/>
      <c r="P205" s="8"/>
      <c r="Q205" s="116"/>
      <c r="R205" s="16" t="s">
        <v>259</v>
      </c>
      <c r="S205" s="42">
        <v>1</v>
      </c>
      <c r="T205" s="37" t="b">
        <v>0</v>
      </c>
      <c r="U205" s="91"/>
      <c r="V205" s="91"/>
      <c r="W205" s="159"/>
      <c r="X205" s="240"/>
    </row>
    <row r="206" spans="2:28" ht="21" x14ac:dyDescent="0.45">
      <c r="B206" s="230"/>
      <c r="C206" s="70"/>
      <c r="D206" s="70"/>
      <c r="E206" s="215"/>
      <c r="F206" s="24"/>
      <c r="G206" s="58"/>
      <c r="H206" s="208"/>
      <c r="I206" s="30"/>
      <c r="J206" s="146"/>
      <c r="K206" s="177"/>
      <c r="L206" s="210"/>
      <c r="M206" s="64"/>
      <c r="N206" s="242"/>
      <c r="O206" s="203"/>
      <c r="P206" s="8"/>
      <c r="Q206" s="116"/>
      <c r="R206" s="16" t="s">
        <v>260</v>
      </c>
      <c r="S206" s="42">
        <v>1</v>
      </c>
      <c r="T206" s="37" t="b">
        <v>0</v>
      </c>
      <c r="U206" s="93"/>
      <c r="V206" s="93"/>
      <c r="W206" s="159"/>
      <c r="X206" s="241"/>
    </row>
    <row r="207" spans="2:28" ht="21" x14ac:dyDescent="0.45">
      <c r="B207" s="230"/>
      <c r="C207" s="70"/>
      <c r="D207" s="70"/>
      <c r="E207" s="215"/>
      <c r="F207" s="24"/>
      <c r="G207" s="58"/>
      <c r="H207" s="208"/>
      <c r="I207" s="30"/>
      <c r="J207" s="146"/>
      <c r="K207" s="177"/>
      <c r="L207" s="210"/>
      <c r="M207" s="64"/>
      <c r="N207" s="242"/>
      <c r="O207" s="203" t="s">
        <v>261</v>
      </c>
      <c r="P207" s="8"/>
      <c r="Q207" s="116"/>
      <c r="R207" s="16" t="s">
        <v>262</v>
      </c>
      <c r="S207" s="42">
        <v>1</v>
      </c>
      <c r="T207" s="37" t="b">
        <v>0</v>
      </c>
      <c r="U207" s="84" cm="1">
        <f t="array" ref="U207">SUMPRODUCT(S207:S211,--T207:T211)</f>
        <v>0</v>
      </c>
      <c r="V207" s="85" cm="1">
        <f t="array" ref="V207">IF(
 5=0,
  "",
  _xlfn.IFS(
    U207/5&gt;=0.8, 5,
    U207/5&gt;=0.6, 4,
    U207/5&gt;=0.4, 3,
    U207/5&gt;=0.2, 2,
    U207/5&gt;=0.1, 1,
    TRUE, 0
  )
)</f>
        <v>0</v>
      </c>
      <c r="W207" s="152">
        <f>V207/5*N192*100</f>
        <v>0</v>
      </c>
      <c r="X207" s="239" t="s">
        <v>157</v>
      </c>
    </row>
    <row r="208" spans="2:28" ht="21" x14ac:dyDescent="0.45">
      <c r="B208" s="230"/>
      <c r="C208" s="70"/>
      <c r="D208" s="70"/>
      <c r="E208" s="215"/>
      <c r="F208" s="24"/>
      <c r="G208" s="58"/>
      <c r="H208" s="208"/>
      <c r="I208" s="30"/>
      <c r="J208" s="146"/>
      <c r="K208" s="177"/>
      <c r="L208" s="210"/>
      <c r="M208" s="64"/>
      <c r="N208" s="242"/>
      <c r="O208" s="203"/>
      <c r="P208" s="8"/>
      <c r="Q208" s="116"/>
      <c r="R208" s="16" t="s">
        <v>263</v>
      </c>
      <c r="S208" s="42">
        <v>1</v>
      </c>
      <c r="T208" s="37" t="b">
        <v>0</v>
      </c>
      <c r="U208" s="91"/>
      <c r="V208" s="91"/>
      <c r="W208" s="159"/>
      <c r="X208" s="240"/>
    </row>
    <row r="209" spans="2:24" ht="21" x14ac:dyDescent="0.45">
      <c r="B209" s="230"/>
      <c r="C209" s="70"/>
      <c r="D209" s="70"/>
      <c r="E209" s="215"/>
      <c r="F209" s="24"/>
      <c r="G209" s="58"/>
      <c r="H209" s="208"/>
      <c r="I209" s="30"/>
      <c r="J209" s="146"/>
      <c r="K209" s="177"/>
      <c r="L209" s="210"/>
      <c r="M209" s="64"/>
      <c r="N209" s="242"/>
      <c r="O209" s="203"/>
      <c r="P209" s="8"/>
      <c r="Q209" s="116"/>
      <c r="R209" s="16" t="s">
        <v>264</v>
      </c>
      <c r="S209" s="42">
        <v>1</v>
      </c>
      <c r="T209" s="37" t="b">
        <v>0</v>
      </c>
      <c r="U209" s="91"/>
      <c r="V209" s="91"/>
      <c r="W209" s="159"/>
      <c r="X209" s="240"/>
    </row>
    <row r="210" spans="2:24" ht="21" x14ac:dyDescent="0.45">
      <c r="B210" s="230"/>
      <c r="C210" s="70"/>
      <c r="D210" s="70"/>
      <c r="E210" s="215"/>
      <c r="F210" s="24"/>
      <c r="G210" s="58"/>
      <c r="H210" s="208"/>
      <c r="I210" s="30"/>
      <c r="J210" s="146"/>
      <c r="K210" s="177"/>
      <c r="L210" s="210"/>
      <c r="M210" s="64"/>
      <c r="N210" s="242"/>
      <c r="O210" s="203"/>
      <c r="P210" s="8"/>
      <c r="Q210" s="116"/>
      <c r="R210" s="16" t="s">
        <v>265</v>
      </c>
      <c r="S210" s="42">
        <v>1</v>
      </c>
      <c r="T210" s="37" t="b">
        <v>0</v>
      </c>
      <c r="U210" s="91"/>
      <c r="V210" s="91"/>
      <c r="W210" s="159"/>
      <c r="X210" s="240"/>
    </row>
    <row r="211" spans="2:24" ht="21" x14ac:dyDescent="0.45">
      <c r="B211" s="230"/>
      <c r="C211" s="70"/>
      <c r="D211" s="70"/>
      <c r="E211" s="215"/>
      <c r="F211" s="24"/>
      <c r="G211" s="58"/>
      <c r="H211" s="208"/>
      <c r="I211" s="30"/>
      <c r="J211" s="146"/>
      <c r="K211" s="177"/>
      <c r="L211" s="210"/>
      <c r="M211" s="64"/>
      <c r="N211" s="242"/>
      <c r="O211" s="203"/>
      <c r="P211" s="8"/>
      <c r="Q211" s="116"/>
      <c r="R211" s="16" t="s">
        <v>260</v>
      </c>
      <c r="S211" s="42">
        <v>1</v>
      </c>
      <c r="T211" s="37" t="b">
        <v>0</v>
      </c>
      <c r="U211" s="93"/>
      <c r="V211" s="93"/>
      <c r="W211" s="159"/>
      <c r="X211" s="241"/>
    </row>
    <row r="212" spans="2:24" ht="21" x14ac:dyDescent="0.45">
      <c r="B212" s="230"/>
      <c r="C212" s="70"/>
      <c r="D212" s="70"/>
      <c r="E212" s="215"/>
      <c r="F212" s="24"/>
      <c r="G212" s="58"/>
      <c r="H212" s="208"/>
      <c r="I212" s="30"/>
      <c r="J212" s="146"/>
      <c r="K212" s="177"/>
      <c r="L212" s="210"/>
      <c r="M212" s="64"/>
      <c r="N212" s="242"/>
      <c r="O212" s="203" t="s">
        <v>266</v>
      </c>
      <c r="P212" s="8"/>
      <c r="Q212" s="116"/>
      <c r="R212" s="16" t="s">
        <v>267</v>
      </c>
      <c r="S212" s="42">
        <v>1</v>
      </c>
      <c r="T212" s="37" t="b">
        <v>0</v>
      </c>
      <c r="U212" s="84" cm="1">
        <f t="array" ref="U212">SUMPRODUCT(S212:S216,--T212:T216)</f>
        <v>0</v>
      </c>
      <c r="V212" s="85" cm="1">
        <f t="array" ref="V212">IF(
 5=0,
  "",
  _xlfn.IFS(
    U212/5&gt;=0.8, 5,
    U212/5&gt;=0.6, 4,
    U212/5&gt;=0.4, 3,
    U212/5&gt;=0.2, 2,
    U212/5&gt;=0.1, 1,
    TRUE, 0
  )
)</f>
        <v>0</v>
      </c>
      <c r="W212" s="152">
        <f>V212/5*N192*100</f>
        <v>0</v>
      </c>
      <c r="X212" s="239" t="s">
        <v>157</v>
      </c>
    </row>
    <row r="213" spans="2:24" ht="21" x14ac:dyDescent="0.45">
      <c r="B213" s="230"/>
      <c r="C213" s="70"/>
      <c r="D213" s="70"/>
      <c r="E213" s="215"/>
      <c r="F213" s="24"/>
      <c r="G213" s="58"/>
      <c r="H213" s="208"/>
      <c r="I213" s="30"/>
      <c r="J213" s="146"/>
      <c r="K213" s="177"/>
      <c r="L213" s="210"/>
      <c r="M213" s="64"/>
      <c r="N213" s="242"/>
      <c r="O213" s="203"/>
      <c r="P213" s="8"/>
      <c r="Q213" s="116"/>
      <c r="R213" s="16" t="s">
        <v>268</v>
      </c>
      <c r="S213" s="42">
        <v>1</v>
      </c>
      <c r="T213" s="37" t="b">
        <v>0</v>
      </c>
      <c r="U213" s="91"/>
      <c r="V213" s="91"/>
      <c r="W213" s="159"/>
      <c r="X213" s="240"/>
    </row>
    <row r="214" spans="2:24" ht="21" x14ac:dyDescent="0.45">
      <c r="B214" s="230"/>
      <c r="C214" s="70"/>
      <c r="D214" s="70"/>
      <c r="E214" s="215"/>
      <c r="F214" s="24"/>
      <c r="G214" s="58"/>
      <c r="H214" s="208"/>
      <c r="I214" s="30"/>
      <c r="J214" s="146"/>
      <c r="K214" s="177"/>
      <c r="L214" s="210"/>
      <c r="M214" s="64"/>
      <c r="N214" s="242"/>
      <c r="O214" s="203"/>
      <c r="P214" s="8"/>
      <c r="Q214" s="116"/>
      <c r="R214" s="16" t="s">
        <v>269</v>
      </c>
      <c r="S214" s="42">
        <v>1</v>
      </c>
      <c r="T214" s="37" t="b">
        <v>0</v>
      </c>
      <c r="U214" s="91"/>
      <c r="V214" s="91"/>
      <c r="W214" s="159"/>
      <c r="X214" s="240"/>
    </row>
    <row r="215" spans="2:24" ht="21" x14ac:dyDescent="0.45">
      <c r="B215" s="230"/>
      <c r="C215" s="70"/>
      <c r="D215" s="70"/>
      <c r="E215" s="215"/>
      <c r="F215" s="24"/>
      <c r="G215" s="58"/>
      <c r="H215" s="208"/>
      <c r="I215" s="30"/>
      <c r="J215" s="146"/>
      <c r="K215" s="177"/>
      <c r="L215" s="210"/>
      <c r="M215" s="64"/>
      <c r="N215" s="242"/>
      <c r="O215" s="203"/>
      <c r="P215" s="8"/>
      <c r="Q215" s="116"/>
      <c r="R215" s="16" t="s">
        <v>270</v>
      </c>
      <c r="S215" s="42">
        <v>1</v>
      </c>
      <c r="T215" s="37" t="b">
        <v>0</v>
      </c>
      <c r="U215" s="91"/>
      <c r="V215" s="91"/>
      <c r="W215" s="159"/>
      <c r="X215" s="240"/>
    </row>
    <row r="216" spans="2:24" ht="21" x14ac:dyDescent="0.45">
      <c r="B216" s="230"/>
      <c r="C216" s="70"/>
      <c r="D216" s="70"/>
      <c r="E216" s="215"/>
      <c r="F216" s="24"/>
      <c r="G216" s="58"/>
      <c r="H216" s="208"/>
      <c r="I216" s="30"/>
      <c r="J216" s="146"/>
      <c r="K216" s="177"/>
      <c r="L216" s="206"/>
      <c r="M216" s="63"/>
      <c r="N216" s="243"/>
      <c r="O216" s="203"/>
      <c r="P216" s="8"/>
      <c r="Q216" s="116"/>
      <c r="R216" s="16" t="s">
        <v>271</v>
      </c>
      <c r="S216" s="42">
        <v>1</v>
      </c>
      <c r="T216" s="37" t="b">
        <v>0</v>
      </c>
      <c r="U216" s="93"/>
      <c r="V216" s="93"/>
      <c r="W216" s="159"/>
      <c r="X216" s="241"/>
    </row>
    <row r="217" spans="2:24" ht="21" x14ac:dyDescent="0.45">
      <c r="B217" s="230"/>
      <c r="C217" s="70"/>
      <c r="D217" s="70"/>
      <c r="E217" s="215"/>
      <c r="F217" s="24"/>
      <c r="G217" s="58"/>
      <c r="H217" s="208"/>
      <c r="I217" s="30"/>
      <c r="J217" s="146"/>
      <c r="K217" s="177"/>
      <c r="L217" s="205" t="s">
        <v>35</v>
      </c>
      <c r="M217" s="62"/>
      <c r="N217" s="58">
        <f>J183*0.223</f>
        <v>1.9588319999999999E-2</v>
      </c>
      <c r="O217" s="97"/>
      <c r="P217" s="198" t="s">
        <v>286</v>
      </c>
      <c r="Q217" s="118">
        <f>N217*0.5</f>
        <v>9.7941599999999997E-3</v>
      </c>
      <c r="R217" s="16" t="s">
        <v>279</v>
      </c>
      <c r="S217" s="42">
        <v>1</v>
      </c>
      <c r="T217" s="37" t="b">
        <v>0</v>
      </c>
      <c r="U217" s="84" cm="1">
        <f t="array" ref="U217">SUMPRODUCT(S217:S225,--T217:T225)</f>
        <v>0</v>
      </c>
      <c r="V217" s="85" cm="1">
        <f t="array" ref="V217">IF(
9=0,
  "",
  _xlfn.IFS(
    U217/9&gt;=0.8, 5,
    U217/9&gt;=0.6, 4,
    U217/9&gt;=0.4, 3,
    U217/9&gt;=0.2, 2,
    U217/9&gt;=0.1, 1,
    TRUE, 0
  )
)</f>
        <v>0</v>
      </c>
      <c r="W217" s="152">
        <f>V217/5*Q217*100</f>
        <v>0</v>
      </c>
      <c r="X217" s="239" t="s">
        <v>433</v>
      </c>
    </row>
    <row r="218" spans="2:24" ht="21" x14ac:dyDescent="0.45">
      <c r="B218" s="230"/>
      <c r="C218" s="70"/>
      <c r="D218" s="70"/>
      <c r="E218" s="215"/>
      <c r="F218" s="24"/>
      <c r="G218" s="58"/>
      <c r="H218" s="208"/>
      <c r="I218" s="30"/>
      <c r="J218" s="146"/>
      <c r="K218" s="177"/>
      <c r="L218" s="210"/>
      <c r="M218" s="64"/>
      <c r="N218" s="64"/>
      <c r="O218" s="98"/>
      <c r="P218" s="199"/>
      <c r="Q218" s="119"/>
      <c r="R218" s="16" t="s">
        <v>280</v>
      </c>
      <c r="S218" s="42">
        <v>1</v>
      </c>
      <c r="T218" s="37" t="b">
        <v>0</v>
      </c>
      <c r="U218" s="91"/>
      <c r="V218" s="91"/>
      <c r="W218" s="158"/>
      <c r="X218" s="240"/>
    </row>
    <row r="219" spans="2:24" ht="21" x14ac:dyDescent="0.45">
      <c r="B219" s="230"/>
      <c r="C219" s="70"/>
      <c r="D219" s="70"/>
      <c r="E219" s="215"/>
      <c r="F219" s="24"/>
      <c r="G219" s="58"/>
      <c r="H219" s="208"/>
      <c r="I219" s="30"/>
      <c r="J219" s="146"/>
      <c r="K219" s="177"/>
      <c r="L219" s="210"/>
      <c r="M219" s="64"/>
      <c r="N219" s="64"/>
      <c r="O219" s="98"/>
      <c r="P219" s="199"/>
      <c r="Q219" s="119"/>
      <c r="R219" s="16" t="s">
        <v>289</v>
      </c>
      <c r="S219" s="42">
        <v>1</v>
      </c>
      <c r="T219" s="37" t="b">
        <v>0</v>
      </c>
      <c r="U219" s="91"/>
      <c r="V219" s="91"/>
      <c r="W219" s="158"/>
      <c r="X219" s="240"/>
    </row>
    <row r="220" spans="2:24" ht="21" x14ac:dyDescent="0.45">
      <c r="B220" s="230"/>
      <c r="C220" s="70"/>
      <c r="D220" s="70"/>
      <c r="E220" s="215"/>
      <c r="F220" s="24"/>
      <c r="G220" s="58"/>
      <c r="H220" s="208"/>
      <c r="I220" s="30"/>
      <c r="J220" s="146"/>
      <c r="K220" s="177"/>
      <c r="L220" s="210"/>
      <c r="M220" s="64"/>
      <c r="N220" s="64"/>
      <c r="O220" s="98"/>
      <c r="P220" s="199"/>
      <c r="Q220" s="119"/>
      <c r="R220" s="16" t="s">
        <v>281</v>
      </c>
      <c r="S220" s="42">
        <v>1</v>
      </c>
      <c r="T220" s="37" t="b">
        <v>0</v>
      </c>
      <c r="U220" s="91"/>
      <c r="V220" s="91"/>
      <c r="W220" s="158"/>
      <c r="X220" s="240"/>
    </row>
    <row r="221" spans="2:24" ht="21" x14ac:dyDescent="0.45">
      <c r="B221" s="230"/>
      <c r="C221" s="70"/>
      <c r="D221" s="70"/>
      <c r="E221" s="215"/>
      <c r="F221" s="24"/>
      <c r="G221" s="58"/>
      <c r="H221" s="208"/>
      <c r="I221" s="30"/>
      <c r="J221" s="146"/>
      <c r="K221" s="177"/>
      <c r="L221" s="210"/>
      <c r="M221" s="64"/>
      <c r="N221" s="64"/>
      <c r="O221" s="98"/>
      <c r="P221" s="199"/>
      <c r="Q221" s="119"/>
      <c r="R221" s="16" t="s">
        <v>282</v>
      </c>
      <c r="S221" s="42">
        <v>1</v>
      </c>
      <c r="T221" s="37" t="b">
        <v>0</v>
      </c>
      <c r="U221" s="91"/>
      <c r="V221" s="91"/>
      <c r="W221" s="158"/>
      <c r="X221" s="240"/>
    </row>
    <row r="222" spans="2:24" ht="21" x14ac:dyDescent="0.45">
      <c r="B222" s="230"/>
      <c r="C222" s="70"/>
      <c r="D222" s="70"/>
      <c r="E222" s="215"/>
      <c r="F222" s="24"/>
      <c r="G222" s="58"/>
      <c r="H222" s="208"/>
      <c r="I222" s="30"/>
      <c r="J222" s="146"/>
      <c r="K222" s="177"/>
      <c r="L222" s="210"/>
      <c r="M222" s="64"/>
      <c r="N222" s="64"/>
      <c r="O222" s="98"/>
      <c r="P222" s="199"/>
      <c r="Q222" s="119"/>
      <c r="R222" s="16" t="s">
        <v>288</v>
      </c>
      <c r="S222" s="42">
        <v>1</v>
      </c>
      <c r="T222" s="37" t="b">
        <v>0</v>
      </c>
      <c r="U222" s="91"/>
      <c r="V222" s="91"/>
      <c r="W222" s="158"/>
      <c r="X222" s="240"/>
    </row>
    <row r="223" spans="2:24" ht="21" x14ac:dyDescent="0.45">
      <c r="B223" s="230"/>
      <c r="C223" s="70"/>
      <c r="D223" s="70"/>
      <c r="E223" s="215"/>
      <c r="F223" s="24"/>
      <c r="G223" s="58"/>
      <c r="H223" s="208"/>
      <c r="I223" s="30"/>
      <c r="J223" s="146"/>
      <c r="K223" s="177"/>
      <c r="L223" s="210"/>
      <c r="M223" s="64"/>
      <c r="N223" s="64"/>
      <c r="O223" s="98"/>
      <c r="P223" s="199"/>
      <c r="Q223" s="119"/>
      <c r="R223" s="16" t="s">
        <v>283</v>
      </c>
      <c r="S223" s="42">
        <v>1</v>
      </c>
      <c r="T223" s="37" t="b">
        <v>0</v>
      </c>
      <c r="U223" s="91"/>
      <c r="V223" s="91"/>
      <c r="W223" s="158"/>
      <c r="X223" s="240"/>
    </row>
    <row r="224" spans="2:24" ht="21" x14ac:dyDescent="0.45">
      <c r="B224" s="230"/>
      <c r="C224" s="70"/>
      <c r="D224" s="70"/>
      <c r="E224" s="215"/>
      <c r="F224" s="24"/>
      <c r="G224" s="58"/>
      <c r="H224" s="208"/>
      <c r="I224" s="30"/>
      <c r="J224" s="146"/>
      <c r="K224" s="177"/>
      <c r="L224" s="210"/>
      <c r="M224" s="64"/>
      <c r="N224" s="64"/>
      <c r="O224" s="98"/>
      <c r="P224" s="199"/>
      <c r="Q224" s="119"/>
      <c r="R224" s="16" t="s">
        <v>284</v>
      </c>
      <c r="S224" s="42">
        <v>1</v>
      </c>
      <c r="T224" s="37" t="b">
        <v>0</v>
      </c>
      <c r="U224" s="91"/>
      <c r="V224" s="91"/>
      <c r="W224" s="158"/>
      <c r="X224" s="240"/>
    </row>
    <row r="225" spans="2:24" ht="21" x14ac:dyDescent="0.45">
      <c r="B225" s="230"/>
      <c r="C225" s="70"/>
      <c r="D225" s="70"/>
      <c r="E225" s="215"/>
      <c r="F225" s="24"/>
      <c r="G225" s="58"/>
      <c r="H225" s="208"/>
      <c r="I225" s="30"/>
      <c r="J225" s="146"/>
      <c r="K225" s="177"/>
      <c r="L225" s="210"/>
      <c r="M225" s="64"/>
      <c r="N225" s="64"/>
      <c r="O225" s="98"/>
      <c r="P225" s="200"/>
      <c r="Q225" s="120"/>
      <c r="R225" s="16" t="s">
        <v>285</v>
      </c>
      <c r="S225" s="42">
        <v>1</v>
      </c>
      <c r="T225" s="37" t="b">
        <v>0</v>
      </c>
      <c r="U225" s="93"/>
      <c r="V225" s="93"/>
      <c r="W225" s="158"/>
      <c r="X225" s="241"/>
    </row>
    <row r="226" spans="2:24" ht="21" x14ac:dyDescent="0.45">
      <c r="B226" s="230"/>
      <c r="C226" s="70"/>
      <c r="D226" s="70"/>
      <c r="E226" s="215"/>
      <c r="F226" s="24"/>
      <c r="G226" s="58"/>
      <c r="H226" s="208"/>
      <c r="I226" s="30"/>
      <c r="J226" s="146"/>
      <c r="K226" s="177"/>
      <c r="L226" s="210"/>
      <c r="M226" s="64"/>
      <c r="N226" s="64"/>
      <c r="O226" s="98"/>
      <c r="P226" s="198" t="s">
        <v>287</v>
      </c>
      <c r="Q226" s="118">
        <f>N217*0.25</f>
        <v>4.8970799999999998E-3</v>
      </c>
      <c r="R226" s="16" t="s">
        <v>290</v>
      </c>
      <c r="S226" s="42">
        <v>1</v>
      </c>
      <c r="T226" s="37" t="b">
        <v>0</v>
      </c>
      <c r="U226" s="84" cm="1">
        <f t="array" ref="U226">SUMPRODUCT(S226:S231,--T226:T231)</f>
        <v>0</v>
      </c>
      <c r="V226" s="85" cm="1">
        <f t="array" ref="V226">IF(
6=0,
  "",
  _xlfn.IFS(
    U226/6&gt;=0.8, 5,
    U226/6&gt;=0.6, 4,
    U226/6&gt;=0.4, 3,
    U226/6&gt;=0.2, 2,
    U226/6&gt;=0.1, 1,
    TRUE, 0
  )
)</f>
        <v>0</v>
      </c>
      <c r="W226" s="152">
        <f>V226/5*Q226*100</f>
        <v>0</v>
      </c>
      <c r="X226" s="239" t="s">
        <v>433</v>
      </c>
    </row>
    <row r="227" spans="2:24" ht="21" x14ac:dyDescent="0.45">
      <c r="B227" s="230"/>
      <c r="C227" s="70"/>
      <c r="D227" s="70"/>
      <c r="E227" s="215"/>
      <c r="F227" s="24"/>
      <c r="G227" s="58"/>
      <c r="H227" s="208"/>
      <c r="I227" s="30"/>
      <c r="J227" s="146"/>
      <c r="K227" s="177"/>
      <c r="L227" s="210"/>
      <c r="M227" s="64"/>
      <c r="N227" s="64"/>
      <c r="O227" s="98"/>
      <c r="P227" s="199"/>
      <c r="Q227" s="119"/>
      <c r="R227" s="16" t="s">
        <v>291</v>
      </c>
      <c r="S227" s="42">
        <v>1</v>
      </c>
      <c r="T227" s="37" t="b">
        <v>0</v>
      </c>
      <c r="U227" s="91"/>
      <c r="V227" s="91"/>
      <c r="W227" s="158"/>
      <c r="X227" s="240"/>
    </row>
    <row r="228" spans="2:24" ht="21" x14ac:dyDescent="0.45">
      <c r="B228" s="230"/>
      <c r="C228" s="70"/>
      <c r="D228" s="70"/>
      <c r="E228" s="215"/>
      <c r="F228" s="24"/>
      <c r="G228" s="58"/>
      <c r="H228" s="208"/>
      <c r="I228" s="30"/>
      <c r="J228" s="146"/>
      <c r="K228" s="177"/>
      <c r="L228" s="210"/>
      <c r="M228" s="64"/>
      <c r="N228" s="64"/>
      <c r="O228" s="98"/>
      <c r="P228" s="199"/>
      <c r="Q228" s="119"/>
      <c r="R228" s="16" t="s">
        <v>292</v>
      </c>
      <c r="S228" s="42">
        <v>1</v>
      </c>
      <c r="T228" s="37" t="b">
        <v>0</v>
      </c>
      <c r="U228" s="91"/>
      <c r="V228" s="91"/>
      <c r="W228" s="158"/>
      <c r="X228" s="240"/>
    </row>
    <row r="229" spans="2:24" ht="21" x14ac:dyDescent="0.45">
      <c r="B229" s="230"/>
      <c r="C229" s="70"/>
      <c r="D229" s="70"/>
      <c r="E229" s="215"/>
      <c r="F229" s="24"/>
      <c r="G229" s="58"/>
      <c r="H229" s="208"/>
      <c r="I229" s="30"/>
      <c r="J229" s="146"/>
      <c r="K229" s="177"/>
      <c r="L229" s="210"/>
      <c r="M229" s="64"/>
      <c r="N229" s="64"/>
      <c r="O229" s="98"/>
      <c r="P229" s="199"/>
      <c r="Q229" s="119"/>
      <c r="R229" s="16" t="s">
        <v>295</v>
      </c>
      <c r="S229" s="42">
        <v>1</v>
      </c>
      <c r="T229" s="37" t="b">
        <v>0</v>
      </c>
      <c r="U229" s="91"/>
      <c r="V229" s="91"/>
      <c r="W229" s="158"/>
      <c r="X229" s="240"/>
    </row>
    <row r="230" spans="2:24" ht="21" x14ac:dyDescent="0.45">
      <c r="B230" s="230"/>
      <c r="C230" s="70"/>
      <c r="D230" s="70"/>
      <c r="E230" s="215"/>
      <c r="F230" s="24"/>
      <c r="G230" s="58"/>
      <c r="H230" s="208"/>
      <c r="I230" s="30"/>
      <c r="J230" s="146"/>
      <c r="K230" s="177"/>
      <c r="L230" s="210"/>
      <c r="M230" s="64"/>
      <c r="N230" s="64"/>
      <c r="O230" s="98"/>
      <c r="P230" s="199"/>
      <c r="Q230" s="119"/>
      <c r="R230" s="16" t="s">
        <v>293</v>
      </c>
      <c r="S230" s="42">
        <v>1</v>
      </c>
      <c r="T230" s="37" t="b">
        <v>0</v>
      </c>
      <c r="U230" s="91"/>
      <c r="V230" s="91"/>
      <c r="W230" s="158"/>
      <c r="X230" s="240"/>
    </row>
    <row r="231" spans="2:24" ht="21" x14ac:dyDescent="0.45">
      <c r="B231" s="230"/>
      <c r="C231" s="70"/>
      <c r="D231" s="70"/>
      <c r="E231" s="215"/>
      <c r="F231" s="24"/>
      <c r="G231" s="58"/>
      <c r="H231" s="208"/>
      <c r="I231" s="30"/>
      <c r="J231" s="146"/>
      <c r="K231" s="177"/>
      <c r="L231" s="210"/>
      <c r="M231" s="64"/>
      <c r="N231" s="64"/>
      <c r="O231" s="98"/>
      <c r="P231" s="200"/>
      <c r="Q231" s="120"/>
      <c r="R231" s="16" t="s">
        <v>294</v>
      </c>
      <c r="S231" s="42">
        <v>1</v>
      </c>
      <c r="T231" s="37" t="b">
        <v>0</v>
      </c>
      <c r="U231" s="93"/>
      <c r="V231" s="93"/>
      <c r="W231" s="158"/>
      <c r="X231" s="241"/>
    </row>
    <row r="232" spans="2:24" ht="21" x14ac:dyDescent="0.45">
      <c r="B232" s="230"/>
      <c r="C232" s="70"/>
      <c r="D232" s="70"/>
      <c r="E232" s="215"/>
      <c r="F232" s="24"/>
      <c r="G232" s="58"/>
      <c r="H232" s="208"/>
      <c r="I232" s="30"/>
      <c r="J232" s="146"/>
      <c r="K232" s="177"/>
      <c r="L232" s="210"/>
      <c r="M232" s="64"/>
      <c r="N232" s="64"/>
      <c r="O232" s="98"/>
      <c r="P232" s="198" t="s">
        <v>302</v>
      </c>
      <c r="Q232" s="123">
        <f>N217*0.25</f>
        <v>4.8970799999999998E-3</v>
      </c>
      <c r="R232" s="16" t="s">
        <v>296</v>
      </c>
      <c r="S232" s="42">
        <v>1</v>
      </c>
      <c r="T232" s="37" t="b">
        <v>0</v>
      </c>
      <c r="U232" s="84" cm="1">
        <f t="array" ref="U232">SUMPRODUCT(S232:S237,--T232:T237)</f>
        <v>0</v>
      </c>
      <c r="V232" s="85" cm="1">
        <f t="array" ref="V232">IF(
6=0,
  "",
  _xlfn.IFS(
    U232/6&gt;=0.8, 5,
    U232/6&gt;=0.6, 4,
    U232/6&gt;=0.4, 3,
    U232/6&gt;=0.2, 2,
    U232/6&gt;=0.1, 1,
    TRUE, 0
  )
)</f>
        <v>0</v>
      </c>
      <c r="W232" s="152">
        <f>V232/5*Q232*100</f>
        <v>0</v>
      </c>
      <c r="X232" s="239" t="s">
        <v>433</v>
      </c>
    </row>
    <row r="233" spans="2:24" ht="21" x14ac:dyDescent="0.45">
      <c r="B233" s="230"/>
      <c r="C233" s="70"/>
      <c r="D233" s="70"/>
      <c r="E233" s="215"/>
      <c r="F233" s="24"/>
      <c r="G233" s="58"/>
      <c r="H233" s="208"/>
      <c r="I233" s="30"/>
      <c r="J233" s="146"/>
      <c r="K233" s="177"/>
      <c r="L233" s="210"/>
      <c r="M233" s="64"/>
      <c r="N233" s="64"/>
      <c r="O233" s="98"/>
      <c r="P233" s="199"/>
      <c r="Q233" s="124"/>
      <c r="R233" s="16" t="s">
        <v>299</v>
      </c>
      <c r="S233" s="42">
        <v>1</v>
      </c>
      <c r="T233" s="37" t="b">
        <v>0</v>
      </c>
      <c r="U233" s="91"/>
      <c r="V233" s="91"/>
      <c r="W233" s="158"/>
      <c r="X233" s="240"/>
    </row>
    <row r="234" spans="2:24" ht="21" x14ac:dyDescent="0.45">
      <c r="B234" s="230"/>
      <c r="C234" s="70"/>
      <c r="D234" s="70"/>
      <c r="E234" s="215"/>
      <c r="F234" s="24"/>
      <c r="G234" s="58"/>
      <c r="H234" s="208"/>
      <c r="I234" s="30"/>
      <c r="J234" s="146"/>
      <c r="K234" s="177"/>
      <c r="L234" s="210"/>
      <c r="M234" s="64"/>
      <c r="N234" s="64"/>
      <c r="O234" s="98"/>
      <c r="P234" s="199"/>
      <c r="Q234" s="14"/>
      <c r="R234" s="105" t="s">
        <v>300</v>
      </c>
      <c r="S234" s="42">
        <v>1</v>
      </c>
      <c r="T234" s="37" t="b">
        <v>0</v>
      </c>
      <c r="U234" s="91"/>
      <c r="V234" s="91"/>
      <c r="W234" s="158"/>
      <c r="X234" s="240"/>
    </row>
    <row r="235" spans="2:24" ht="21" x14ac:dyDescent="0.45">
      <c r="B235" s="230"/>
      <c r="C235" s="70"/>
      <c r="D235" s="70"/>
      <c r="E235" s="215"/>
      <c r="F235" s="24"/>
      <c r="G235" s="58"/>
      <c r="H235" s="208"/>
      <c r="I235" s="30"/>
      <c r="J235" s="146"/>
      <c r="K235" s="177"/>
      <c r="L235" s="210"/>
      <c r="M235" s="64"/>
      <c r="N235" s="64"/>
      <c r="O235" s="98"/>
      <c r="P235" s="199"/>
      <c r="Q235" s="124"/>
      <c r="R235" s="16" t="s">
        <v>301</v>
      </c>
      <c r="S235" s="42">
        <v>1</v>
      </c>
      <c r="T235" s="37" t="b">
        <v>0</v>
      </c>
      <c r="U235" s="91"/>
      <c r="V235" s="91"/>
      <c r="W235" s="158"/>
      <c r="X235" s="240"/>
    </row>
    <row r="236" spans="2:24" ht="21" x14ac:dyDescent="0.45">
      <c r="B236" s="230"/>
      <c r="C236" s="70"/>
      <c r="D236" s="70"/>
      <c r="E236" s="215"/>
      <c r="F236" s="24"/>
      <c r="G236" s="58"/>
      <c r="H236" s="208"/>
      <c r="I236" s="30"/>
      <c r="J236" s="146"/>
      <c r="K236" s="177"/>
      <c r="L236" s="210"/>
      <c r="M236" s="64"/>
      <c r="N236" s="64"/>
      <c r="O236" s="98"/>
      <c r="P236" s="199"/>
      <c r="Q236" s="14"/>
      <c r="R236" s="105" t="s">
        <v>297</v>
      </c>
      <c r="S236" s="42">
        <v>1</v>
      </c>
      <c r="T236" s="37" t="b">
        <v>0</v>
      </c>
      <c r="U236" s="91"/>
      <c r="V236" s="91"/>
      <c r="W236" s="158"/>
      <c r="X236" s="240"/>
    </row>
    <row r="237" spans="2:24" ht="21" x14ac:dyDescent="0.45">
      <c r="B237" s="230"/>
      <c r="C237" s="70"/>
      <c r="D237" s="70"/>
      <c r="E237" s="215"/>
      <c r="F237" s="24"/>
      <c r="G237" s="58"/>
      <c r="H237" s="208"/>
      <c r="I237" s="30"/>
      <c r="J237" s="146"/>
      <c r="K237" s="177"/>
      <c r="L237" s="206"/>
      <c r="M237" s="63"/>
      <c r="N237" s="63"/>
      <c r="O237" s="99"/>
      <c r="P237" s="200"/>
      <c r="Q237" s="125"/>
      <c r="R237" s="16" t="s">
        <v>298</v>
      </c>
      <c r="S237" s="42">
        <v>1</v>
      </c>
      <c r="T237" s="37" t="b">
        <v>0</v>
      </c>
      <c r="U237" s="93"/>
      <c r="V237" s="93"/>
      <c r="W237" s="158"/>
      <c r="X237" s="241"/>
    </row>
    <row r="238" spans="2:24" ht="21" x14ac:dyDescent="0.45">
      <c r="B238" s="230"/>
      <c r="C238" s="70"/>
      <c r="D238" s="70"/>
      <c r="E238" s="215"/>
      <c r="F238" s="24"/>
      <c r="G238" s="58"/>
      <c r="H238" s="208"/>
      <c r="I238" s="30"/>
      <c r="J238" s="146"/>
      <c r="K238" s="177"/>
      <c r="L238" s="205" t="s">
        <v>36</v>
      </c>
      <c r="M238" s="62"/>
      <c r="N238" s="58">
        <f>J183*0.151</f>
        <v>1.3263839999999999E-2</v>
      </c>
      <c r="O238" s="97"/>
      <c r="P238" s="198" t="s">
        <v>306</v>
      </c>
      <c r="Q238" s="118">
        <f>N238*0.5</f>
        <v>6.6319199999999995E-3</v>
      </c>
      <c r="R238" s="16" t="s">
        <v>316</v>
      </c>
      <c r="S238" s="42">
        <v>1</v>
      </c>
      <c r="T238" s="37" t="b">
        <v>0</v>
      </c>
      <c r="U238" s="84" cm="1">
        <f t="array" ref="U238">SUMPRODUCT(S238:S241,--T238:T241)</f>
        <v>0</v>
      </c>
      <c r="V238" s="85" cm="1">
        <f t="array" ref="V238">IF(
4=0,
  "",
  _xlfn.IFS(
    U238/4&gt;=0.8, 5,
    U238/4&gt;=0.6, 4,
    U238/4&gt;=0.4, 3,
    U238/4&gt;=0.2, 2,
    U238/4&gt;=0.1, 1,
    TRUE, 0
  )
)</f>
        <v>0</v>
      </c>
      <c r="W238" s="152">
        <f>V238/5*Q238*100</f>
        <v>0</v>
      </c>
      <c r="X238" s="239" t="s">
        <v>433</v>
      </c>
    </row>
    <row r="239" spans="2:24" ht="21" x14ac:dyDescent="0.45">
      <c r="B239" s="230"/>
      <c r="C239" s="70"/>
      <c r="D239" s="70"/>
      <c r="E239" s="215"/>
      <c r="F239" s="24"/>
      <c r="G239" s="58"/>
      <c r="H239" s="208"/>
      <c r="I239" s="30"/>
      <c r="J239" s="146"/>
      <c r="K239" s="177"/>
      <c r="L239" s="210"/>
      <c r="M239" s="64"/>
      <c r="N239" s="64"/>
      <c r="O239" s="98"/>
      <c r="P239" s="199"/>
      <c r="Q239" s="119"/>
      <c r="R239" s="16" t="s">
        <v>303</v>
      </c>
      <c r="S239" s="42">
        <v>1</v>
      </c>
      <c r="T239" s="37" t="b">
        <v>0</v>
      </c>
      <c r="U239" s="91"/>
      <c r="V239" s="91"/>
      <c r="W239" s="158"/>
      <c r="X239" s="240"/>
    </row>
    <row r="240" spans="2:24" ht="21" x14ac:dyDescent="0.45">
      <c r="B240" s="230"/>
      <c r="C240" s="70"/>
      <c r="D240" s="70"/>
      <c r="E240" s="215"/>
      <c r="F240" s="24"/>
      <c r="G240" s="58"/>
      <c r="H240" s="208"/>
      <c r="I240" s="30"/>
      <c r="J240" s="146"/>
      <c r="K240" s="177"/>
      <c r="L240" s="210"/>
      <c r="M240" s="64"/>
      <c r="N240" s="64"/>
      <c r="O240" s="98"/>
      <c r="P240" s="199"/>
      <c r="Q240" s="119"/>
      <c r="R240" s="16" t="s">
        <v>304</v>
      </c>
      <c r="S240" s="42">
        <v>1</v>
      </c>
      <c r="T240" s="37" t="b">
        <v>0</v>
      </c>
      <c r="U240" s="91"/>
      <c r="V240" s="91"/>
      <c r="W240" s="158"/>
      <c r="X240" s="240"/>
    </row>
    <row r="241" spans="2:28" ht="21" x14ac:dyDescent="0.45">
      <c r="B241" s="230"/>
      <c r="C241" s="70"/>
      <c r="D241" s="70"/>
      <c r="E241" s="215"/>
      <c r="F241" s="24"/>
      <c r="G241" s="58"/>
      <c r="H241" s="208"/>
      <c r="I241" s="30"/>
      <c r="J241" s="146"/>
      <c r="K241" s="177"/>
      <c r="L241" s="210"/>
      <c r="M241" s="64"/>
      <c r="N241" s="64"/>
      <c r="O241" s="98"/>
      <c r="P241" s="200"/>
      <c r="Q241" s="120"/>
      <c r="R241" s="16" t="s">
        <v>305</v>
      </c>
      <c r="S241" s="42">
        <v>1</v>
      </c>
      <c r="T241" s="37" t="b">
        <v>0</v>
      </c>
      <c r="U241" s="93"/>
      <c r="V241" s="93"/>
      <c r="W241" s="158"/>
      <c r="X241" s="241"/>
    </row>
    <row r="242" spans="2:28" ht="21" x14ac:dyDescent="0.45">
      <c r="B242" s="230"/>
      <c r="C242" s="70"/>
      <c r="D242" s="70"/>
      <c r="E242" s="215"/>
      <c r="F242" s="24"/>
      <c r="G242" s="58"/>
      <c r="H242" s="208"/>
      <c r="I242" s="30"/>
      <c r="J242" s="146"/>
      <c r="K242" s="177"/>
      <c r="L242" s="210"/>
      <c r="M242" s="64"/>
      <c r="N242" s="64"/>
      <c r="O242" s="98"/>
      <c r="P242" s="198" t="s">
        <v>311</v>
      </c>
      <c r="Q242" s="118">
        <f>N238*0.5</f>
        <v>6.6319199999999995E-3</v>
      </c>
      <c r="R242" s="16" t="s">
        <v>310</v>
      </c>
      <c r="S242" s="42">
        <v>1</v>
      </c>
      <c r="T242" s="37" t="b">
        <v>0</v>
      </c>
      <c r="U242" s="84" cm="1">
        <f t="array" ref="U242">SUMPRODUCT(S242:S245,--T242:T245)</f>
        <v>0</v>
      </c>
      <c r="V242" s="85" cm="1">
        <f t="array" ref="V242">IF(
4=0,
  "",
  _xlfn.IFS(
    U242/4&gt;=0.8, 5,
    U242/4&gt;=0.6, 4,
    U242/4&gt;=0.4, 3,
    U242/4&gt;=0.2, 2,
    U242/4&gt;=0.1, 1,
    TRUE, 0
  )
)</f>
        <v>0</v>
      </c>
      <c r="W242" s="152">
        <f>V242/5*Q242*100</f>
        <v>0</v>
      </c>
      <c r="X242" s="239" t="s">
        <v>433</v>
      </c>
    </row>
    <row r="243" spans="2:28" ht="21" x14ac:dyDescent="0.45">
      <c r="B243" s="230"/>
      <c r="C243" s="70"/>
      <c r="D243" s="70"/>
      <c r="E243" s="215"/>
      <c r="F243" s="24"/>
      <c r="G243" s="58"/>
      <c r="H243" s="208"/>
      <c r="I243" s="30"/>
      <c r="J243" s="146"/>
      <c r="K243" s="177"/>
      <c r="L243" s="210"/>
      <c r="M243" s="64"/>
      <c r="N243" s="64"/>
      <c r="O243" s="98"/>
      <c r="P243" s="199"/>
      <c r="Q243" s="114"/>
      <c r="R243" s="16" t="s">
        <v>309</v>
      </c>
      <c r="S243" s="42">
        <v>1</v>
      </c>
      <c r="T243" s="37" t="b">
        <v>0</v>
      </c>
      <c r="U243" s="91"/>
      <c r="V243" s="91"/>
      <c r="W243" s="158"/>
      <c r="X243" s="240"/>
    </row>
    <row r="244" spans="2:28" ht="21" x14ac:dyDescent="0.45">
      <c r="B244" s="230"/>
      <c r="C244" s="70"/>
      <c r="D244" s="70"/>
      <c r="E244" s="215"/>
      <c r="F244" s="24"/>
      <c r="G244" s="58"/>
      <c r="H244" s="208"/>
      <c r="I244" s="30"/>
      <c r="J244" s="146"/>
      <c r="K244" s="177"/>
      <c r="L244" s="210"/>
      <c r="M244" s="64"/>
      <c r="N244" s="64"/>
      <c r="O244" s="98"/>
      <c r="P244" s="199"/>
      <c r="Q244" s="114"/>
      <c r="R244" s="16" t="s">
        <v>308</v>
      </c>
      <c r="S244" s="42">
        <v>1</v>
      </c>
      <c r="T244" s="37" t="b">
        <v>0</v>
      </c>
      <c r="U244" s="91"/>
      <c r="V244" s="91"/>
      <c r="W244" s="158"/>
      <c r="X244" s="240"/>
    </row>
    <row r="245" spans="2:28" ht="21" x14ac:dyDescent="0.45">
      <c r="B245" s="230"/>
      <c r="C245" s="70"/>
      <c r="D245" s="70"/>
      <c r="E245" s="215"/>
      <c r="F245" s="24"/>
      <c r="G245" s="58"/>
      <c r="H245" s="208"/>
      <c r="I245" s="30"/>
      <c r="J245" s="146"/>
      <c r="K245" s="177"/>
      <c r="L245" s="206"/>
      <c r="M245" s="63"/>
      <c r="N245" s="63"/>
      <c r="O245" s="99"/>
      <c r="P245" s="200"/>
      <c r="Q245" s="115"/>
      <c r="R245" s="16" t="s">
        <v>307</v>
      </c>
      <c r="S245" s="42">
        <v>1</v>
      </c>
      <c r="T245" s="37" t="b">
        <v>0</v>
      </c>
      <c r="U245" s="93"/>
      <c r="V245" s="93"/>
      <c r="W245" s="158"/>
      <c r="X245" s="241"/>
    </row>
    <row r="246" spans="2:28" ht="21" x14ac:dyDescent="0.45">
      <c r="B246" s="230"/>
      <c r="C246" s="70"/>
      <c r="D246" s="70"/>
      <c r="E246" s="215"/>
      <c r="F246" s="24"/>
      <c r="G246" s="58"/>
      <c r="H246" s="208"/>
      <c r="I246" s="30"/>
      <c r="J246" s="146"/>
      <c r="K246" s="177"/>
      <c r="L246" s="205" t="s">
        <v>37</v>
      </c>
      <c r="M246" s="64"/>
      <c r="N246" s="58">
        <f>J183*0.066</f>
        <v>5.7974400000000001E-3</v>
      </c>
      <c r="O246" s="97"/>
      <c r="P246" s="8"/>
      <c r="Q246" s="116"/>
      <c r="R246" s="16" t="s">
        <v>315</v>
      </c>
      <c r="S246" s="42">
        <v>1</v>
      </c>
      <c r="T246" s="37" t="b">
        <v>0</v>
      </c>
      <c r="U246" s="84" cm="1">
        <f t="array" ref="U246">SUMPRODUCT(S246:S250,--T246:T250)</f>
        <v>0</v>
      </c>
      <c r="V246" s="85" cm="1">
        <f t="array" ref="V246">IF(
 5=0,
  "",
  _xlfn.IFS(
    U246/5&gt;=0.8, 5,
    U246/5&gt;=0.6, 4,
    U246/5&gt;=0.4, 3,
    U246/5&gt;=0.2, 2,
    U246/5&gt;=0.1, 1,
    TRUE, 0
  )
)</f>
        <v>0</v>
      </c>
      <c r="W246" s="152">
        <f>V246/5*N246*100</f>
        <v>0</v>
      </c>
      <c r="X246" s="239" t="s">
        <v>433</v>
      </c>
    </row>
    <row r="247" spans="2:28" ht="21" x14ac:dyDescent="0.45">
      <c r="B247" s="230"/>
      <c r="C247" s="70"/>
      <c r="D247" s="70"/>
      <c r="E247" s="215"/>
      <c r="F247" s="24"/>
      <c r="G247" s="58"/>
      <c r="H247" s="208"/>
      <c r="I247" s="30"/>
      <c r="J247" s="146"/>
      <c r="K247" s="177"/>
      <c r="L247" s="210"/>
      <c r="M247" s="64"/>
      <c r="N247" s="64"/>
      <c r="O247" s="98"/>
      <c r="P247" s="8"/>
      <c r="Q247" s="116"/>
      <c r="R247" s="16" t="s">
        <v>314</v>
      </c>
      <c r="S247" s="42">
        <v>1</v>
      </c>
      <c r="T247" s="37" t="b">
        <v>0</v>
      </c>
      <c r="U247" s="91"/>
      <c r="V247" s="91"/>
      <c r="W247" s="158"/>
      <c r="X247" s="240"/>
    </row>
    <row r="248" spans="2:28" ht="21" x14ac:dyDescent="0.45">
      <c r="B248" s="230"/>
      <c r="C248" s="70"/>
      <c r="D248" s="70"/>
      <c r="E248" s="215"/>
      <c r="F248" s="24"/>
      <c r="G248" s="58"/>
      <c r="H248" s="208"/>
      <c r="I248" s="30"/>
      <c r="J248" s="146"/>
      <c r="K248" s="177"/>
      <c r="L248" s="210"/>
      <c r="M248" s="64"/>
      <c r="N248" s="64"/>
      <c r="O248" s="98"/>
      <c r="P248" s="8"/>
      <c r="Q248" s="116"/>
      <c r="R248" s="16" t="s">
        <v>313</v>
      </c>
      <c r="S248" s="42">
        <v>1</v>
      </c>
      <c r="T248" s="37" t="b">
        <v>0</v>
      </c>
      <c r="U248" s="91"/>
      <c r="V248" s="91"/>
      <c r="W248" s="158"/>
      <c r="X248" s="240"/>
    </row>
    <row r="249" spans="2:28" ht="21" x14ac:dyDescent="0.45">
      <c r="B249" s="230"/>
      <c r="C249" s="70"/>
      <c r="D249" s="70"/>
      <c r="E249" s="215"/>
      <c r="F249" s="24"/>
      <c r="G249" s="58"/>
      <c r="H249" s="208"/>
      <c r="I249" s="30"/>
      <c r="J249" s="146"/>
      <c r="K249" s="177"/>
      <c r="L249" s="210"/>
      <c r="M249" s="64"/>
      <c r="N249" s="64"/>
      <c r="O249" s="98"/>
      <c r="P249" s="8"/>
      <c r="Q249" s="116"/>
      <c r="R249" s="16" t="s">
        <v>312</v>
      </c>
      <c r="S249" s="42">
        <v>1</v>
      </c>
      <c r="T249" s="37" t="b">
        <v>0</v>
      </c>
      <c r="U249" s="91"/>
      <c r="V249" s="91"/>
      <c r="W249" s="158"/>
      <c r="X249" s="240"/>
    </row>
    <row r="250" spans="2:28" ht="21" x14ac:dyDescent="0.45">
      <c r="B250" s="230"/>
      <c r="C250" s="70"/>
      <c r="D250" s="70"/>
      <c r="E250" s="215"/>
      <c r="F250" s="24"/>
      <c r="G250" s="58"/>
      <c r="H250" s="209"/>
      <c r="I250" s="31"/>
      <c r="J250" s="147"/>
      <c r="K250" s="178"/>
      <c r="L250" s="206"/>
      <c r="M250" s="63"/>
      <c r="N250" s="63"/>
      <c r="O250" s="99"/>
      <c r="P250" s="8"/>
      <c r="Q250" s="116"/>
      <c r="R250" s="16" t="s">
        <v>318</v>
      </c>
      <c r="S250" s="42">
        <v>1</v>
      </c>
      <c r="T250" s="37" t="b">
        <v>0</v>
      </c>
      <c r="U250" s="93"/>
      <c r="V250" s="93"/>
      <c r="W250" s="158"/>
      <c r="X250" s="241"/>
    </row>
    <row r="251" spans="2:28" ht="21" x14ac:dyDescent="0.45">
      <c r="B251" s="230"/>
      <c r="C251" s="70"/>
      <c r="D251" s="70"/>
      <c r="E251" s="215"/>
      <c r="F251" s="24"/>
      <c r="G251" s="58"/>
      <c r="H251" s="207" t="s">
        <v>320</v>
      </c>
      <c r="I251" s="29"/>
      <c r="J251" s="132">
        <f>G183*0.4</f>
        <v>5.8560000000000001E-2</v>
      </c>
      <c r="K251" s="174"/>
      <c r="L251" s="205" t="s">
        <v>38</v>
      </c>
      <c r="M251" s="62"/>
      <c r="N251" s="58">
        <f>J251*0.467</f>
        <v>2.7347520000000004E-2</v>
      </c>
      <c r="O251" s="97"/>
      <c r="P251" s="222" t="s">
        <v>321</v>
      </c>
      <c r="Q251" s="118">
        <f>N251*0.5</f>
        <v>1.3673760000000002E-2</v>
      </c>
      <c r="R251" s="184" t="s">
        <v>493</v>
      </c>
      <c r="S251" s="42">
        <v>4</v>
      </c>
      <c r="T251" s="37" t="b">
        <v>0</v>
      </c>
      <c r="U251" s="84" cm="1">
        <f t="array" ref="U251">SUMPRODUCT(S251:S255,--T251:T255)</f>
        <v>0</v>
      </c>
      <c r="V251" s="85"/>
      <c r="W251" s="152">
        <f>U251/S251*Q251*100</f>
        <v>0</v>
      </c>
      <c r="X251" s="6"/>
    </row>
    <row r="252" spans="2:28" ht="21" x14ac:dyDescent="0.45">
      <c r="B252" s="230"/>
      <c r="C252" s="70"/>
      <c r="D252" s="70"/>
      <c r="E252" s="215"/>
      <c r="F252" s="24"/>
      <c r="G252" s="58"/>
      <c r="H252" s="245"/>
      <c r="I252" s="48"/>
      <c r="J252" s="146"/>
      <c r="K252" s="177"/>
      <c r="L252" s="210"/>
      <c r="M252" s="64"/>
      <c r="N252" s="64"/>
      <c r="O252" s="98"/>
      <c r="P252" s="223"/>
      <c r="Q252" s="114"/>
      <c r="R252" s="184" t="s">
        <v>494</v>
      </c>
      <c r="S252" s="42">
        <v>3</v>
      </c>
      <c r="T252" s="37" t="b">
        <v>0</v>
      </c>
      <c r="U252" s="91"/>
      <c r="V252" s="91"/>
      <c r="W252" s="158"/>
      <c r="X252" s="6"/>
    </row>
    <row r="253" spans="2:28" ht="21" x14ac:dyDescent="0.45">
      <c r="B253" s="230"/>
      <c r="C253" s="70"/>
      <c r="D253" s="70"/>
      <c r="E253" s="215"/>
      <c r="F253" s="24"/>
      <c r="G253" s="58"/>
      <c r="H253" s="245"/>
      <c r="I253" s="48"/>
      <c r="J253" s="146"/>
      <c r="K253" s="177"/>
      <c r="L253" s="210"/>
      <c r="M253" s="64"/>
      <c r="N253" s="64"/>
      <c r="O253" s="98"/>
      <c r="P253" s="223"/>
      <c r="Q253" s="114"/>
      <c r="R253" s="184" t="s">
        <v>495</v>
      </c>
      <c r="S253" s="47">
        <v>2</v>
      </c>
      <c r="T253" s="37" t="b">
        <v>0</v>
      </c>
      <c r="U253" s="91"/>
      <c r="V253" s="91"/>
      <c r="W253" s="158"/>
      <c r="X253" s="6"/>
    </row>
    <row r="254" spans="2:28" ht="21" x14ac:dyDescent="0.45">
      <c r="B254" s="230"/>
      <c r="C254" s="70"/>
      <c r="D254" s="70"/>
      <c r="E254" s="215"/>
      <c r="F254" s="24"/>
      <c r="G254" s="58"/>
      <c r="H254" s="245"/>
      <c r="I254" s="48"/>
      <c r="J254" s="146"/>
      <c r="K254" s="177"/>
      <c r="L254" s="210"/>
      <c r="M254" s="64"/>
      <c r="N254" s="64"/>
      <c r="O254" s="98"/>
      <c r="P254" s="223"/>
      <c r="Q254" s="114"/>
      <c r="R254" s="184" t="s">
        <v>319</v>
      </c>
      <c r="S254" s="42">
        <v>1</v>
      </c>
      <c r="T254" s="37" t="b">
        <v>0</v>
      </c>
      <c r="U254" s="91"/>
      <c r="V254" s="91"/>
      <c r="W254" s="158"/>
      <c r="X254" s="6"/>
    </row>
    <row r="255" spans="2:28" ht="21.5" thickBot="1" x14ac:dyDescent="0.5">
      <c r="B255" s="230"/>
      <c r="C255" s="70"/>
      <c r="D255" s="70"/>
      <c r="E255" s="215"/>
      <c r="F255" s="24"/>
      <c r="G255" s="58"/>
      <c r="H255" s="245"/>
      <c r="I255" s="48"/>
      <c r="J255" s="146"/>
      <c r="K255" s="177"/>
      <c r="L255" s="210"/>
      <c r="M255" s="64"/>
      <c r="N255" s="64"/>
      <c r="O255" s="98"/>
      <c r="P255" s="224"/>
      <c r="Q255" s="115"/>
      <c r="R255" s="184" t="s">
        <v>317</v>
      </c>
      <c r="S255" s="42">
        <v>0</v>
      </c>
      <c r="T255" s="37" t="b">
        <v>0</v>
      </c>
      <c r="U255" s="93"/>
      <c r="V255" s="93"/>
      <c r="W255" s="158"/>
      <c r="X255" s="6"/>
    </row>
    <row r="256" spans="2:28" ht="21.5" thickBot="1" x14ac:dyDescent="0.5">
      <c r="B256" s="230"/>
      <c r="C256" s="70"/>
      <c r="D256" s="70"/>
      <c r="E256" s="215"/>
      <c r="F256" s="24"/>
      <c r="G256" s="58"/>
      <c r="H256" s="245"/>
      <c r="I256" s="48"/>
      <c r="J256" s="146"/>
      <c r="K256" s="177"/>
      <c r="L256" s="210"/>
      <c r="M256" s="64"/>
      <c r="N256" s="64"/>
      <c r="O256" s="203" t="s">
        <v>243</v>
      </c>
      <c r="P256" s="198" t="s">
        <v>322</v>
      </c>
      <c r="Q256" s="118">
        <f>N251*0.5</f>
        <v>1.3673760000000002E-2</v>
      </c>
      <c r="R256" s="16" t="s">
        <v>327</v>
      </c>
      <c r="S256" s="42">
        <v>1</v>
      </c>
      <c r="T256" s="37" t="b">
        <v>0</v>
      </c>
      <c r="U256" s="84" cm="1">
        <f t="array" ref="U256">SUMPRODUCT(S256:S260,--T256:T260)</f>
        <v>0</v>
      </c>
      <c r="V256" s="85" cm="1">
        <f t="array" ref="V256">IF(
 5=0,
  "",
  _xlfn.IFS(
    U256/5&gt;=0.8, 5,
    U256/5&gt;=0.6, 4,
    U256/5&gt;=0.4, 3,
    U256/5&gt;=0.2, 2,
    U256/5&gt;=0.1, 1,
    TRUE, 0
  )
)</f>
        <v>0</v>
      </c>
      <c r="W256" s="152">
        <f>V256/5*Q256*100</f>
        <v>0</v>
      </c>
      <c r="X256" s="239" t="s">
        <v>433</v>
      </c>
      <c r="Y256" s="194" t="s">
        <v>492</v>
      </c>
      <c r="Z256" s="190" t="s">
        <v>490</v>
      </c>
      <c r="AA256" s="188" t="s">
        <v>487</v>
      </c>
      <c r="AB256" s="189" t="s">
        <v>488</v>
      </c>
    </row>
    <row r="257" spans="2:28" ht="21" x14ac:dyDescent="0.45">
      <c r="B257" s="230"/>
      <c r="C257" s="70"/>
      <c r="D257" s="70"/>
      <c r="E257" s="215"/>
      <c r="F257" s="24"/>
      <c r="G257" s="58"/>
      <c r="H257" s="245"/>
      <c r="I257" s="48"/>
      <c r="J257" s="146"/>
      <c r="K257" s="177"/>
      <c r="L257" s="210"/>
      <c r="M257" s="64"/>
      <c r="N257" s="64"/>
      <c r="O257" s="203"/>
      <c r="P257" s="199"/>
      <c r="Q257" s="242" t="s">
        <v>450</v>
      </c>
      <c r="R257" s="16" t="s">
        <v>326</v>
      </c>
      <c r="S257" s="42">
        <v>1</v>
      </c>
      <c r="T257" s="37" t="b">
        <v>0</v>
      </c>
      <c r="U257" s="91"/>
      <c r="V257" s="91"/>
      <c r="W257" s="158"/>
      <c r="X257" s="240"/>
      <c r="Z257" s="193" t="s">
        <v>482</v>
      </c>
      <c r="AA257" s="192">
        <v>100</v>
      </c>
      <c r="AB257" s="185">
        <f>SUMPRODUCT(W256*(AA257/100))</f>
        <v>0</v>
      </c>
    </row>
    <row r="258" spans="2:28" ht="21" x14ac:dyDescent="0.45">
      <c r="B258" s="230"/>
      <c r="C258" s="70"/>
      <c r="D258" s="70"/>
      <c r="E258" s="215"/>
      <c r="F258" s="24"/>
      <c r="G258" s="58"/>
      <c r="H258" s="245"/>
      <c r="I258" s="48"/>
      <c r="J258" s="146"/>
      <c r="K258" s="177"/>
      <c r="L258" s="210"/>
      <c r="M258" s="64"/>
      <c r="N258" s="64"/>
      <c r="O258" s="203"/>
      <c r="P258" s="199"/>
      <c r="Q258" s="242"/>
      <c r="R258" s="16" t="s">
        <v>325</v>
      </c>
      <c r="S258" s="42">
        <v>1</v>
      </c>
      <c r="T258" s="37" t="b">
        <v>0</v>
      </c>
      <c r="U258" s="91"/>
      <c r="V258" s="91"/>
      <c r="W258" s="158"/>
      <c r="X258" s="240"/>
      <c r="Z258" s="193" t="s">
        <v>483</v>
      </c>
      <c r="AA258" s="192"/>
      <c r="AB258" s="185">
        <f>SUMPRODUCT(W261*(AA258/100))</f>
        <v>0</v>
      </c>
    </row>
    <row r="259" spans="2:28" ht="21" x14ac:dyDescent="0.45">
      <c r="B259" s="230"/>
      <c r="C259" s="70"/>
      <c r="D259" s="70"/>
      <c r="E259" s="215"/>
      <c r="F259" s="24"/>
      <c r="G259" s="58"/>
      <c r="H259" s="245"/>
      <c r="I259" s="48"/>
      <c r="J259" s="146"/>
      <c r="K259" s="177"/>
      <c r="L259" s="210"/>
      <c r="M259" s="64"/>
      <c r="N259" s="64"/>
      <c r="O259" s="203"/>
      <c r="P259" s="199"/>
      <c r="Q259" s="242"/>
      <c r="R259" s="16" t="s">
        <v>324</v>
      </c>
      <c r="S259" s="42">
        <v>1</v>
      </c>
      <c r="T259" s="37" t="b">
        <v>0</v>
      </c>
      <c r="U259" s="91"/>
      <c r="V259" s="91"/>
      <c r="W259" s="158"/>
      <c r="X259" s="240"/>
      <c r="Z259" s="193" t="s">
        <v>484</v>
      </c>
      <c r="AA259" s="192"/>
      <c r="AB259" s="185">
        <f>SUMPRODUCT(W266*(AA259/100))</f>
        <v>0</v>
      </c>
    </row>
    <row r="260" spans="2:28" ht="21" x14ac:dyDescent="0.45">
      <c r="B260" s="230"/>
      <c r="C260" s="70"/>
      <c r="D260" s="70"/>
      <c r="E260" s="215"/>
      <c r="F260" s="24"/>
      <c r="G260" s="58"/>
      <c r="H260" s="245"/>
      <c r="I260" s="48"/>
      <c r="J260" s="146"/>
      <c r="K260" s="177"/>
      <c r="L260" s="210"/>
      <c r="M260" s="64"/>
      <c r="N260" s="64"/>
      <c r="O260" s="203"/>
      <c r="P260" s="200"/>
      <c r="Q260" s="242"/>
      <c r="R260" s="16" t="s">
        <v>323</v>
      </c>
      <c r="S260" s="42">
        <v>1</v>
      </c>
      <c r="T260" s="37" t="b">
        <v>0</v>
      </c>
      <c r="U260" s="93"/>
      <c r="V260" s="93"/>
      <c r="W260" s="158"/>
      <c r="X260" s="241"/>
      <c r="Z260" s="193" t="s">
        <v>485</v>
      </c>
      <c r="AA260" s="192"/>
      <c r="AB260" s="185">
        <f>SUMPRODUCT(W271*(AA260/100))</f>
        <v>0</v>
      </c>
    </row>
    <row r="261" spans="2:28" ht="21" x14ac:dyDescent="0.45">
      <c r="B261" s="230"/>
      <c r="C261" s="70"/>
      <c r="D261" s="70"/>
      <c r="E261" s="215"/>
      <c r="F261" s="24"/>
      <c r="G261" s="58"/>
      <c r="H261" s="245"/>
      <c r="I261" s="48"/>
      <c r="J261" s="146"/>
      <c r="K261" s="177"/>
      <c r="L261" s="210"/>
      <c r="M261" s="64"/>
      <c r="N261" s="64"/>
      <c r="O261" s="203" t="s">
        <v>249</v>
      </c>
      <c r="P261" s="198" t="s">
        <v>328</v>
      </c>
      <c r="Q261" s="242"/>
      <c r="R261" s="16" t="s">
        <v>333</v>
      </c>
      <c r="S261" s="42">
        <v>1</v>
      </c>
      <c r="T261" s="37" t="b">
        <v>0</v>
      </c>
      <c r="U261" s="84" cm="1">
        <f t="array" ref="U261">SUMPRODUCT(S261:S265,--T261:T265)</f>
        <v>0</v>
      </c>
      <c r="V261" s="85" cm="1">
        <f t="array" ref="V261">IF(
 5=0,
  "",
  _xlfn.IFS(
    U261/5&gt;=0.8, 5,
    U261/5&gt;=0.6, 4,
    U261/5&gt;=0.4, 3,
    U261/5&gt;=0.2, 2,
    U261/5&gt;=0.1, 1,
    TRUE, 0
  )
)</f>
        <v>0</v>
      </c>
      <c r="W261" s="152">
        <f>V261/5*Q256*100</f>
        <v>0</v>
      </c>
      <c r="X261" s="239" t="s">
        <v>433</v>
      </c>
      <c r="Z261" s="193" t="s">
        <v>486</v>
      </c>
      <c r="AA261" s="192"/>
      <c r="AB261" s="185">
        <f>SUMPRODUCT(W276*(AA261/100))</f>
        <v>0</v>
      </c>
    </row>
    <row r="262" spans="2:28" ht="21.5" thickBot="1" x14ac:dyDescent="0.5">
      <c r="B262" s="230"/>
      <c r="C262" s="70"/>
      <c r="D262" s="70"/>
      <c r="E262" s="215"/>
      <c r="F262" s="24"/>
      <c r="G262" s="58"/>
      <c r="H262" s="245"/>
      <c r="I262" s="48"/>
      <c r="J262" s="146"/>
      <c r="K262" s="177"/>
      <c r="L262" s="210"/>
      <c r="M262" s="64"/>
      <c r="N262" s="64"/>
      <c r="O262" s="203"/>
      <c r="P262" s="199"/>
      <c r="Q262" s="242"/>
      <c r="R262" s="16" t="s">
        <v>332</v>
      </c>
      <c r="S262" s="42">
        <v>1</v>
      </c>
      <c r="T262" s="37" t="b">
        <v>0</v>
      </c>
      <c r="U262" s="91"/>
      <c r="V262" s="91"/>
      <c r="W262" s="158"/>
      <c r="X262" s="240"/>
      <c r="Z262" s="191" t="s">
        <v>489</v>
      </c>
      <c r="AA262" s="186">
        <v>100</v>
      </c>
      <c r="AB262" s="187">
        <f>SUM(AB257:AB261)</f>
        <v>0</v>
      </c>
    </row>
    <row r="263" spans="2:28" ht="21" x14ac:dyDescent="0.45">
      <c r="B263" s="230"/>
      <c r="C263" s="70"/>
      <c r="D263" s="70"/>
      <c r="E263" s="215"/>
      <c r="F263" s="24"/>
      <c r="G263" s="58"/>
      <c r="H263" s="245"/>
      <c r="I263" s="48"/>
      <c r="J263" s="146"/>
      <c r="K263" s="177"/>
      <c r="L263" s="210"/>
      <c r="M263" s="64"/>
      <c r="N263" s="64"/>
      <c r="O263" s="203"/>
      <c r="P263" s="199"/>
      <c r="Q263" s="242"/>
      <c r="R263" s="16" t="s">
        <v>331</v>
      </c>
      <c r="S263" s="42">
        <v>1</v>
      </c>
      <c r="T263" s="37" t="b">
        <v>0</v>
      </c>
      <c r="U263" s="91"/>
      <c r="V263" s="91"/>
      <c r="W263" s="158"/>
      <c r="X263" s="240"/>
    </row>
    <row r="264" spans="2:28" ht="21" x14ac:dyDescent="0.45">
      <c r="B264" s="230"/>
      <c r="C264" s="70"/>
      <c r="D264" s="70"/>
      <c r="E264" s="215"/>
      <c r="F264" s="24"/>
      <c r="G264" s="58"/>
      <c r="H264" s="245"/>
      <c r="I264" s="48"/>
      <c r="J264" s="146"/>
      <c r="K264" s="177"/>
      <c r="L264" s="210"/>
      <c r="M264" s="64"/>
      <c r="N264" s="64"/>
      <c r="O264" s="203"/>
      <c r="P264" s="199"/>
      <c r="Q264" s="242"/>
      <c r="R264" s="16" t="s">
        <v>330</v>
      </c>
      <c r="S264" s="42">
        <v>1</v>
      </c>
      <c r="T264" s="37" t="b">
        <v>0</v>
      </c>
      <c r="U264" s="91"/>
      <c r="V264" s="91"/>
      <c r="W264" s="158"/>
      <c r="X264" s="240"/>
    </row>
    <row r="265" spans="2:28" ht="21" x14ac:dyDescent="0.45">
      <c r="B265" s="230"/>
      <c r="C265" s="70"/>
      <c r="D265" s="70"/>
      <c r="E265" s="215"/>
      <c r="F265" s="24"/>
      <c r="G265" s="58"/>
      <c r="H265" s="245"/>
      <c r="I265" s="48"/>
      <c r="J265" s="146"/>
      <c r="K265" s="177"/>
      <c r="L265" s="210"/>
      <c r="M265" s="64"/>
      <c r="N265" s="64"/>
      <c r="O265" s="203"/>
      <c r="P265" s="200"/>
      <c r="Q265" s="242"/>
      <c r="R265" s="16" t="s">
        <v>329</v>
      </c>
      <c r="S265" s="42">
        <v>1</v>
      </c>
      <c r="T265" s="37" t="b">
        <v>0</v>
      </c>
      <c r="U265" s="93"/>
      <c r="V265" s="93"/>
      <c r="W265" s="158"/>
      <c r="X265" s="241"/>
    </row>
    <row r="266" spans="2:28" ht="21" x14ac:dyDescent="0.45">
      <c r="B266" s="230"/>
      <c r="C266" s="70"/>
      <c r="D266" s="70"/>
      <c r="E266" s="215"/>
      <c r="F266" s="24"/>
      <c r="G266" s="58"/>
      <c r="H266" s="245"/>
      <c r="I266" s="48"/>
      <c r="J266" s="146"/>
      <c r="K266" s="177"/>
      <c r="L266" s="210"/>
      <c r="M266" s="64"/>
      <c r="N266" s="64"/>
      <c r="O266" s="203" t="s">
        <v>250</v>
      </c>
      <c r="P266" s="198" t="s">
        <v>334</v>
      </c>
      <c r="Q266" s="242"/>
      <c r="R266" s="16" t="s">
        <v>338</v>
      </c>
      <c r="S266" s="42">
        <v>1</v>
      </c>
      <c r="T266" s="37" t="b">
        <v>0</v>
      </c>
      <c r="U266" s="84" cm="1">
        <f t="array" ref="U266">SUMPRODUCT(S266:S270,--T266:T270)</f>
        <v>0</v>
      </c>
      <c r="V266" s="85" cm="1">
        <f t="array" ref="V266">IF(
 5=0,
  "",
  _xlfn.IFS(
    U266/5&gt;=0.8, 5,
    U266/5&gt;=0.6, 4,
    U266/5&gt;=0.4, 3,
    U266/5&gt;=0.2, 2,
    U266/5&gt;=0.1, 1,
    TRUE, 0
  )
)</f>
        <v>0</v>
      </c>
      <c r="W266" s="152">
        <f>V266/5*Q256*100</f>
        <v>0</v>
      </c>
      <c r="X266" s="239" t="s">
        <v>433</v>
      </c>
    </row>
    <row r="267" spans="2:28" ht="21" x14ac:dyDescent="0.45">
      <c r="B267" s="230"/>
      <c r="C267" s="70"/>
      <c r="D267" s="70"/>
      <c r="E267" s="215"/>
      <c r="F267" s="24"/>
      <c r="G267" s="58"/>
      <c r="H267" s="245"/>
      <c r="I267" s="48"/>
      <c r="J267" s="146"/>
      <c r="K267" s="177"/>
      <c r="L267" s="210"/>
      <c r="M267" s="64"/>
      <c r="N267" s="64"/>
      <c r="O267" s="203"/>
      <c r="P267" s="199"/>
      <c r="Q267" s="242"/>
      <c r="R267" s="16" t="s">
        <v>336</v>
      </c>
      <c r="S267" s="42">
        <v>1</v>
      </c>
      <c r="T267" s="37" t="b">
        <v>0</v>
      </c>
      <c r="U267" s="91"/>
      <c r="V267" s="91"/>
      <c r="W267" s="158"/>
      <c r="X267" s="240"/>
    </row>
    <row r="268" spans="2:28" ht="21" x14ac:dyDescent="0.45">
      <c r="B268" s="230"/>
      <c r="C268" s="70"/>
      <c r="D268" s="70"/>
      <c r="E268" s="215"/>
      <c r="F268" s="24"/>
      <c r="G268" s="58"/>
      <c r="H268" s="245"/>
      <c r="I268" s="48"/>
      <c r="J268" s="146"/>
      <c r="K268" s="177"/>
      <c r="L268" s="210"/>
      <c r="M268" s="64"/>
      <c r="N268" s="64"/>
      <c r="O268" s="203"/>
      <c r="P268" s="199"/>
      <c r="Q268" s="242"/>
      <c r="R268" s="16" t="s">
        <v>337</v>
      </c>
      <c r="S268" s="42">
        <v>1</v>
      </c>
      <c r="T268" s="37" t="b">
        <v>0</v>
      </c>
      <c r="U268" s="91"/>
      <c r="V268" s="91"/>
      <c r="W268" s="158"/>
      <c r="X268" s="240"/>
    </row>
    <row r="269" spans="2:28" ht="21" x14ac:dyDescent="0.45">
      <c r="B269" s="230"/>
      <c r="C269" s="70"/>
      <c r="D269" s="70"/>
      <c r="E269" s="215"/>
      <c r="F269" s="24"/>
      <c r="G269" s="58"/>
      <c r="H269" s="245"/>
      <c r="I269" s="48"/>
      <c r="J269" s="146"/>
      <c r="K269" s="177"/>
      <c r="L269" s="210"/>
      <c r="M269" s="64"/>
      <c r="N269" s="64"/>
      <c r="O269" s="203"/>
      <c r="P269" s="199"/>
      <c r="Q269" s="242"/>
      <c r="R269" s="16" t="s">
        <v>335</v>
      </c>
      <c r="S269" s="42">
        <v>1</v>
      </c>
      <c r="T269" s="37" t="b">
        <v>0</v>
      </c>
      <c r="U269" s="91"/>
      <c r="V269" s="91"/>
      <c r="W269" s="158"/>
      <c r="X269" s="240"/>
    </row>
    <row r="270" spans="2:28" ht="21" x14ac:dyDescent="0.45">
      <c r="B270" s="230"/>
      <c r="C270" s="70"/>
      <c r="D270" s="70"/>
      <c r="E270" s="215"/>
      <c r="F270" s="24"/>
      <c r="G270" s="58"/>
      <c r="H270" s="245"/>
      <c r="I270" s="48"/>
      <c r="J270" s="146"/>
      <c r="K270" s="177"/>
      <c r="L270" s="210"/>
      <c r="M270" s="64"/>
      <c r="N270" s="64"/>
      <c r="O270" s="203"/>
      <c r="P270" s="200"/>
      <c r="Q270" s="242"/>
      <c r="R270" s="16" t="s">
        <v>339</v>
      </c>
      <c r="S270" s="42">
        <v>1</v>
      </c>
      <c r="T270" s="37" t="b">
        <v>0</v>
      </c>
      <c r="U270" s="93"/>
      <c r="V270" s="93"/>
      <c r="W270" s="158"/>
      <c r="X270" s="241"/>
    </row>
    <row r="271" spans="2:28" ht="21" x14ac:dyDescent="0.45">
      <c r="B271" s="230"/>
      <c r="C271" s="70"/>
      <c r="D271" s="70"/>
      <c r="E271" s="215"/>
      <c r="F271" s="24"/>
      <c r="G271" s="58"/>
      <c r="H271" s="245"/>
      <c r="I271" s="48"/>
      <c r="J271" s="146"/>
      <c r="K271" s="177"/>
      <c r="L271" s="210"/>
      <c r="M271" s="64"/>
      <c r="N271" s="64"/>
      <c r="O271" s="203" t="s">
        <v>261</v>
      </c>
      <c r="P271" s="198" t="s">
        <v>340</v>
      </c>
      <c r="Q271" s="242"/>
      <c r="R271" s="16" t="s">
        <v>434</v>
      </c>
      <c r="S271" s="42">
        <v>1</v>
      </c>
      <c r="T271" s="37" t="b">
        <v>0</v>
      </c>
      <c r="U271" s="84" cm="1">
        <f t="array" ref="U271">SUMPRODUCT(S271:S275,--T271:T275)</f>
        <v>0</v>
      </c>
      <c r="V271" s="85" cm="1">
        <f t="array" ref="V271">IF(
 5=0,
  "",
  _xlfn.IFS(
    U271/5&gt;=0.8, 5,
    U271/5&gt;=0.6, 4,
    U271/5&gt;=0.4, 3,
    U271/5&gt;=0.2, 2,
    U271/5&gt;=0.1, 1,
    TRUE, 0
  )
)</f>
        <v>0</v>
      </c>
      <c r="W271" s="152">
        <f>V271/5*Q256*100</f>
        <v>0</v>
      </c>
      <c r="X271" s="239" t="s">
        <v>433</v>
      </c>
    </row>
    <row r="272" spans="2:28" ht="21" x14ac:dyDescent="0.45">
      <c r="B272" s="230"/>
      <c r="C272" s="70"/>
      <c r="D272" s="70"/>
      <c r="E272" s="215"/>
      <c r="F272" s="24"/>
      <c r="G272" s="58"/>
      <c r="H272" s="245"/>
      <c r="I272" s="48"/>
      <c r="J272" s="146"/>
      <c r="K272" s="177"/>
      <c r="L272" s="210"/>
      <c r="M272" s="64"/>
      <c r="N272" s="64"/>
      <c r="O272" s="203"/>
      <c r="P272" s="199"/>
      <c r="Q272" s="242"/>
      <c r="R272" s="16" t="s">
        <v>344</v>
      </c>
      <c r="S272" s="42">
        <v>1</v>
      </c>
      <c r="T272" s="37" t="b">
        <v>0</v>
      </c>
      <c r="U272" s="91"/>
      <c r="V272" s="91"/>
      <c r="W272" s="158"/>
      <c r="X272" s="240"/>
    </row>
    <row r="273" spans="2:28" ht="21" x14ac:dyDescent="0.45">
      <c r="B273" s="230"/>
      <c r="C273" s="70"/>
      <c r="D273" s="70"/>
      <c r="E273" s="215"/>
      <c r="F273" s="24"/>
      <c r="G273" s="58"/>
      <c r="H273" s="245"/>
      <c r="I273" s="48"/>
      <c r="J273" s="146"/>
      <c r="K273" s="177"/>
      <c r="L273" s="210"/>
      <c r="M273" s="64"/>
      <c r="N273" s="64"/>
      <c r="O273" s="203"/>
      <c r="P273" s="199"/>
      <c r="Q273" s="242"/>
      <c r="R273" s="16" t="s">
        <v>343</v>
      </c>
      <c r="S273" s="42">
        <v>1</v>
      </c>
      <c r="T273" s="37" t="b">
        <v>0</v>
      </c>
      <c r="U273" s="91"/>
      <c r="V273" s="91"/>
      <c r="W273" s="158"/>
      <c r="X273" s="240"/>
    </row>
    <row r="274" spans="2:28" ht="21" x14ac:dyDescent="0.45">
      <c r="B274" s="230"/>
      <c r="C274" s="70"/>
      <c r="D274" s="70"/>
      <c r="E274" s="215"/>
      <c r="F274" s="24"/>
      <c r="G274" s="58"/>
      <c r="H274" s="245"/>
      <c r="I274" s="48"/>
      <c r="J274" s="146"/>
      <c r="K274" s="177"/>
      <c r="L274" s="210"/>
      <c r="M274" s="64"/>
      <c r="N274" s="64"/>
      <c r="O274" s="203"/>
      <c r="P274" s="199"/>
      <c r="Q274" s="242"/>
      <c r="R274" s="16" t="s">
        <v>342</v>
      </c>
      <c r="S274" s="42">
        <v>1</v>
      </c>
      <c r="T274" s="37" t="b">
        <v>0</v>
      </c>
      <c r="U274" s="91"/>
      <c r="V274" s="91"/>
      <c r="W274" s="158"/>
      <c r="X274" s="240"/>
    </row>
    <row r="275" spans="2:28" ht="21" x14ac:dyDescent="0.45">
      <c r="B275" s="230"/>
      <c r="C275" s="70"/>
      <c r="D275" s="70"/>
      <c r="E275" s="215"/>
      <c r="F275" s="24"/>
      <c r="G275" s="58"/>
      <c r="H275" s="245"/>
      <c r="I275" s="48"/>
      <c r="J275" s="146"/>
      <c r="K275" s="177"/>
      <c r="L275" s="210"/>
      <c r="M275" s="64"/>
      <c r="N275" s="64"/>
      <c r="O275" s="203"/>
      <c r="P275" s="200"/>
      <c r="Q275" s="242"/>
      <c r="R275" s="16" t="s">
        <v>341</v>
      </c>
      <c r="S275" s="42">
        <v>1</v>
      </c>
      <c r="T275" s="37" t="b">
        <v>0</v>
      </c>
      <c r="U275" s="93"/>
      <c r="V275" s="93"/>
      <c r="W275" s="158"/>
      <c r="X275" s="241"/>
    </row>
    <row r="276" spans="2:28" ht="21" x14ac:dyDescent="0.45">
      <c r="B276" s="230"/>
      <c r="C276" s="70"/>
      <c r="D276" s="70"/>
      <c r="E276" s="215"/>
      <c r="F276" s="24"/>
      <c r="G276" s="58"/>
      <c r="H276" s="245"/>
      <c r="I276" s="48"/>
      <c r="J276" s="146"/>
      <c r="K276" s="177"/>
      <c r="L276" s="210"/>
      <c r="M276" s="64"/>
      <c r="N276" s="64"/>
      <c r="O276" s="203" t="s">
        <v>266</v>
      </c>
      <c r="P276" s="198" t="s">
        <v>345</v>
      </c>
      <c r="Q276" s="242"/>
      <c r="R276" s="16" t="s">
        <v>350</v>
      </c>
      <c r="S276" s="42">
        <v>1</v>
      </c>
      <c r="T276" s="37" t="b">
        <v>0</v>
      </c>
      <c r="U276" s="84" cm="1">
        <f t="array" ref="U276">SUMPRODUCT(S276:S280,--T276:T280)</f>
        <v>0</v>
      </c>
      <c r="V276" s="85" cm="1">
        <f t="array" ref="V276">IF(
 5=0,
  "",
  _xlfn.IFS(
    U276/5&gt;=0.8, 5,
    U276/5&gt;=0.6, 4,
    U276/5&gt;=0.4, 3,
    U276/5&gt;=0.2, 2,
    U276/5&gt;=0.1, 1,
    TRUE, 0
  )
)</f>
        <v>0</v>
      </c>
      <c r="W276" s="152">
        <f>V276/5*Q256*100</f>
        <v>0</v>
      </c>
      <c r="X276" s="239" t="s">
        <v>433</v>
      </c>
    </row>
    <row r="277" spans="2:28" ht="21" x14ac:dyDescent="0.45">
      <c r="B277" s="230"/>
      <c r="C277" s="70"/>
      <c r="D277" s="70"/>
      <c r="E277" s="215"/>
      <c r="F277" s="24"/>
      <c r="G277" s="58"/>
      <c r="H277" s="245"/>
      <c r="I277" s="48"/>
      <c r="J277" s="146"/>
      <c r="K277" s="177"/>
      <c r="L277" s="210"/>
      <c r="M277" s="64"/>
      <c r="N277" s="64"/>
      <c r="O277" s="203"/>
      <c r="P277" s="199"/>
      <c r="Q277" s="242"/>
      <c r="R277" s="16" t="s">
        <v>348</v>
      </c>
      <c r="S277" s="42">
        <v>1</v>
      </c>
      <c r="T277" s="37" t="b">
        <v>0</v>
      </c>
      <c r="U277" s="91"/>
      <c r="V277" s="91"/>
      <c r="W277" s="158"/>
      <c r="X277" s="240"/>
    </row>
    <row r="278" spans="2:28" ht="21" x14ac:dyDescent="0.45">
      <c r="B278" s="230"/>
      <c r="C278" s="70"/>
      <c r="D278" s="70"/>
      <c r="E278" s="215"/>
      <c r="F278" s="24"/>
      <c r="G278" s="58"/>
      <c r="H278" s="245"/>
      <c r="I278" s="48"/>
      <c r="J278" s="146"/>
      <c r="K278" s="177"/>
      <c r="L278" s="210"/>
      <c r="M278" s="64"/>
      <c r="N278" s="64"/>
      <c r="O278" s="203"/>
      <c r="P278" s="199"/>
      <c r="Q278" s="242"/>
      <c r="R278" s="16" t="s">
        <v>349</v>
      </c>
      <c r="S278" s="42">
        <v>1</v>
      </c>
      <c r="T278" s="37" t="b">
        <v>0</v>
      </c>
      <c r="U278" s="91"/>
      <c r="V278" s="91"/>
      <c r="W278" s="158"/>
      <c r="X278" s="240"/>
    </row>
    <row r="279" spans="2:28" ht="21" x14ac:dyDescent="0.45">
      <c r="B279" s="230"/>
      <c r="C279" s="70"/>
      <c r="D279" s="70"/>
      <c r="E279" s="215"/>
      <c r="F279" s="24"/>
      <c r="G279" s="58"/>
      <c r="H279" s="245"/>
      <c r="I279" s="48"/>
      <c r="J279" s="146"/>
      <c r="K279" s="177"/>
      <c r="L279" s="210"/>
      <c r="M279" s="64"/>
      <c r="N279" s="64"/>
      <c r="O279" s="203"/>
      <c r="P279" s="199"/>
      <c r="Q279" s="242"/>
      <c r="R279" s="16" t="s">
        <v>347</v>
      </c>
      <c r="S279" s="42">
        <v>1</v>
      </c>
      <c r="T279" s="37" t="b">
        <v>0</v>
      </c>
      <c r="U279" s="91"/>
      <c r="V279" s="91"/>
      <c r="W279" s="158"/>
      <c r="X279" s="240"/>
    </row>
    <row r="280" spans="2:28" ht="21.5" thickBot="1" x14ac:dyDescent="0.5">
      <c r="B280" s="230"/>
      <c r="C280" s="70"/>
      <c r="D280" s="70"/>
      <c r="E280" s="215"/>
      <c r="F280" s="24"/>
      <c r="G280" s="58"/>
      <c r="H280" s="245"/>
      <c r="I280" s="48"/>
      <c r="J280" s="146"/>
      <c r="K280" s="177"/>
      <c r="L280" s="206"/>
      <c r="M280" s="63"/>
      <c r="N280" s="63"/>
      <c r="O280" s="203"/>
      <c r="P280" s="200"/>
      <c r="Q280" s="243"/>
      <c r="R280" s="16" t="s">
        <v>346</v>
      </c>
      <c r="S280" s="42">
        <v>1</v>
      </c>
      <c r="T280" s="37" t="b">
        <v>0</v>
      </c>
      <c r="U280" s="93"/>
      <c r="V280" s="93"/>
      <c r="W280" s="158"/>
      <c r="X280" s="241"/>
    </row>
    <row r="281" spans="2:28" ht="21.5" thickBot="1" x14ac:dyDescent="0.5">
      <c r="B281" s="230"/>
      <c r="C281" s="70"/>
      <c r="D281" s="70"/>
      <c r="E281" s="215"/>
      <c r="F281" s="24"/>
      <c r="G281" s="58"/>
      <c r="H281" s="245"/>
      <c r="I281" s="48"/>
      <c r="J281" s="146"/>
      <c r="K281" s="177"/>
      <c r="L281" s="205" t="s">
        <v>39</v>
      </c>
      <c r="M281" s="62"/>
      <c r="N281" s="58">
        <f>J251*0.533</f>
        <v>3.1212480000000001E-2</v>
      </c>
      <c r="O281" s="204" t="s">
        <v>243</v>
      </c>
      <c r="P281" s="198" t="s">
        <v>351</v>
      </c>
      <c r="Q281" s="118">
        <f>N281*0.5</f>
        <v>1.560624E-2</v>
      </c>
      <c r="R281" s="16" t="s">
        <v>361</v>
      </c>
      <c r="S281" s="42">
        <v>1</v>
      </c>
      <c r="T281" s="37" t="b">
        <v>0</v>
      </c>
      <c r="U281" s="84" cm="1">
        <f t="array" ref="U281">SUMPRODUCT(S281:S284,--T281:T284)</f>
        <v>0</v>
      </c>
      <c r="V281" s="85" cm="1">
        <f t="array" ref="V281">IF(
4=0,
  "",
  _xlfn.IFS(
    U281/4&gt;=0.8, 5,
    U281/4&gt;=0.6, 4,
    U281/4&gt;=0.4, 3,
    U281/4&gt;=0.2, 2,
    U281/4&gt;=0.1, 1,
    TRUE, 0
  )
)</f>
        <v>0</v>
      </c>
      <c r="W281" s="152">
        <f>V281/5*Q281*100</f>
        <v>0</v>
      </c>
      <c r="X281" s="239" t="s">
        <v>435</v>
      </c>
      <c r="Y281" s="194" t="s">
        <v>492</v>
      </c>
      <c r="Z281" s="190" t="s">
        <v>490</v>
      </c>
      <c r="AA281" s="188" t="s">
        <v>487</v>
      </c>
      <c r="AB281" s="189" t="s">
        <v>488</v>
      </c>
    </row>
    <row r="282" spans="2:28" ht="21" x14ac:dyDescent="0.45">
      <c r="B282" s="230"/>
      <c r="C282" s="70"/>
      <c r="D282" s="70"/>
      <c r="E282" s="215"/>
      <c r="F282" s="24"/>
      <c r="G282" s="58"/>
      <c r="H282" s="245"/>
      <c r="I282" s="48"/>
      <c r="J282" s="146"/>
      <c r="K282" s="177"/>
      <c r="L282" s="210"/>
      <c r="M282" s="64"/>
      <c r="N282" s="242" t="s">
        <v>446</v>
      </c>
      <c r="O282" s="204"/>
      <c r="P282" s="199"/>
      <c r="Q282" s="119"/>
      <c r="R282" s="16" t="s">
        <v>362</v>
      </c>
      <c r="S282" s="42">
        <v>1</v>
      </c>
      <c r="T282" s="37" t="b">
        <v>0</v>
      </c>
      <c r="U282" s="91"/>
      <c r="V282" s="91"/>
      <c r="W282" s="158"/>
      <c r="X282" s="240"/>
      <c r="Z282" s="193" t="s">
        <v>482</v>
      </c>
      <c r="AA282" s="192">
        <v>100</v>
      </c>
      <c r="AB282" s="185">
        <f>SUMPRODUCT((W281+W285)*(AA282/100))</f>
        <v>0</v>
      </c>
    </row>
    <row r="283" spans="2:28" ht="21" x14ac:dyDescent="0.45">
      <c r="B283" s="230"/>
      <c r="C283" s="70"/>
      <c r="D283" s="70"/>
      <c r="E283" s="215"/>
      <c r="F283" s="24"/>
      <c r="G283" s="58"/>
      <c r="H283" s="245"/>
      <c r="I283" s="48"/>
      <c r="J283" s="146"/>
      <c r="K283" s="177"/>
      <c r="L283" s="210"/>
      <c r="M283" s="64"/>
      <c r="N283" s="242"/>
      <c r="O283" s="204"/>
      <c r="P283" s="199"/>
      <c r="Q283" s="119"/>
      <c r="R283" s="16" t="s">
        <v>363</v>
      </c>
      <c r="S283" s="42">
        <v>1</v>
      </c>
      <c r="T283" s="37" t="b">
        <v>0</v>
      </c>
      <c r="U283" s="91"/>
      <c r="V283" s="91"/>
      <c r="W283" s="158"/>
      <c r="X283" s="240"/>
      <c r="Z283" s="193" t="s">
        <v>483</v>
      </c>
      <c r="AA283" s="192"/>
      <c r="AB283" s="185">
        <f>SUMPRODUCT((W289+W293)*(AA283/100))</f>
        <v>0</v>
      </c>
    </row>
    <row r="284" spans="2:28" ht="21" x14ac:dyDescent="0.45">
      <c r="B284" s="230"/>
      <c r="C284" s="70"/>
      <c r="D284" s="70"/>
      <c r="E284" s="215"/>
      <c r="F284" s="24"/>
      <c r="G284" s="58"/>
      <c r="H284" s="245"/>
      <c r="I284" s="48"/>
      <c r="J284" s="146"/>
      <c r="K284" s="177"/>
      <c r="L284" s="210"/>
      <c r="M284" s="64"/>
      <c r="N284" s="242"/>
      <c r="O284" s="204"/>
      <c r="P284" s="200"/>
      <c r="Q284" s="120"/>
      <c r="R284" s="16" t="s">
        <v>364</v>
      </c>
      <c r="S284" s="42">
        <v>1</v>
      </c>
      <c r="T284" s="37" t="b">
        <v>0</v>
      </c>
      <c r="U284" s="93"/>
      <c r="V284" s="93"/>
      <c r="W284" s="158"/>
      <c r="X284" s="241"/>
      <c r="Z284" s="193" t="s">
        <v>484</v>
      </c>
      <c r="AA284" s="192"/>
      <c r="AB284" s="185">
        <f>SUMPRODUCT((W297+W301)*(AA284/100))</f>
        <v>0</v>
      </c>
    </row>
    <row r="285" spans="2:28" ht="21" x14ac:dyDescent="0.45">
      <c r="B285" s="230"/>
      <c r="C285" s="70"/>
      <c r="D285" s="70"/>
      <c r="E285" s="215"/>
      <c r="F285" s="24"/>
      <c r="G285" s="58"/>
      <c r="H285" s="245"/>
      <c r="I285" s="48"/>
      <c r="J285" s="146"/>
      <c r="K285" s="177"/>
      <c r="L285" s="210"/>
      <c r="M285" s="64"/>
      <c r="N285" s="242"/>
      <c r="O285" s="204"/>
      <c r="P285" s="198" t="s">
        <v>352</v>
      </c>
      <c r="Q285" s="118">
        <f>N281*0.5</f>
        <v>1.560624E-2</v>
      </c>
      <c r="R285" s="16" t="s">
        <v>365</v>
      </c>
      <c r="S285" s="42">
        <v>3</v>
      </c>
      <c r="T285" s="37" t="b">
        <v>0</v>
      </c>
      <c r="U285" s="84" cm="1">
        <f t="array" ref="U285">SUMPRODUCT(S285:S288,--T285:T288)</f>
        <v>0</v>
      </c>
      <c r="V285" s="85"/>
      <c r="W285" s="152">
        <f>U285/S285*Q285*100</f>
        <v>0</v>
      </c>
      <c r="X285" s="6"/>
      <c r="Z285" s="193" t="s">
        <v>485</v>
      </c>
      <c r="AA285" s="192"/>
      <c r="AB285" s="185">
        <f>SUMPRODUCT((W305+W309)*(AA285/100))</f>
        <v>0</v>
      </c>
    </row>
    <row r="286" spans="2:28" ht="21" x14ac:dyDescent="0.45">
      <c r="B286" s="230"/>
      <c r="C286" s="70"/>
      <c r="D286" s="70"/>
      <c r="E286" s="215"/>
      <c r="F286" s="24"/>
      <c r="G286" s="58"/>
      <c r="H286" s="245"/>
      <c r="I286" s="48"/>
      <c r="J286" s="146"/>
      <c r="K286" s="177"/>
      <c r="L286" s="210"/>
      <c r="M286" s="64"/>
      <c r="N286" s="242"/>
      <c r="O286" s="204"/>
      <c r="P286" s="199"/>
      <c r="Q286" s="119"/>
      <c r="R286" s="16" t="s">
        <v>370</v>
      </c>
      <c r="S286" s="42">
        <v>2</v>
      </c>
      <c r="T286" s="37" t="b">
        <v>0</v>
      </c>
      <c r="U286" s="91"/>
      <c r="V286" s="91"/>
      <c r="W286" s="158"/>
      <c r="X286" s="6"/>
      <c r="Z286" s="193" t="s">
        <v>486</v>
      </c>
      <c r="AA286" s="192"/>
      <c r="AB286" s="185">
        <f>SUMPRODUCT((W313+W318)*(AA286/100))</f>
        <v>0</v>
      </c>
    </row>
    <row r="287" spans="2:28" ht="21.5" thickBot="1" x14ac:dyDescent="0.5">
      <c r="B287" s="230"/>
      <c r="C287" s="70"/>
      <c r="D287" s="70"/>
      <c r="E287" s="215"/>
      <c r="F287" s="24"/>
      <c r="G287" s="58"/>
      <c r="H287" s="245"/>
      <c r="I287" s="48"/>
      <c r="J287" s="146"/>
      <c r="K287" s="177"/>
      <c r="L287" s="210"/>
      <c r="M287" s="64"/>
      <c r="N287" s="242"/>
      <c r="O287" s="204"/>
      <c r="P287" s="199"/>
      <c r="Q287" s="119"/>
      <c r="R287" s="16" t="s">
        <v>372</v>
      </c>
      <c r="S287" s="42">
        <v>1</v>
      </c>
      <c r="T287" s="37" t="b">
        <v>0</v>
      </c>
      <c r="U287" s="91"/>
      <c r="V287" s="91"/>
      <c r="W287" s="158"/>
      <c r="X287" s="6"/>
      <c r="Z287" s="191" t="s">
        <v>489</v>
      </c>
      <c r="AA287" s="186">
        <v>100</v>
      </c>
      <c r="AB287" s="187">
        <f>SUM(AB282:AB286)</f>
        <v>0</v>
      </c>
    </row>
    <row r="288" spans="2:28" ht="21" x14ac:dyDescent="0.45">
      <c r="B288" s="230"/>
      <c r="C288" s="70"/>
      <c r="D288" s="70"/>
      <c r="E288" s="215"/>
      <c r="F288" s="24"/>
      <c r="G288" s="58"/>
      <c r="H288" s="245"/>
      <c r="I288" s="48"/>
      <c r="J288" s="146"/>
      <c r="K288" s="177"/>
      <c r="L288" s="210"/>
      <c r="M288" s="64"/>
      <c r="N288" s="242"/>
      <c r="O288" s="204"/>
      <c r="P288" s="200"/>
      <c r="Q288" s="120"/>
      <c r="R288" s="16" t="s">
        <v>371</v>
      </c>
      <c r="S288" s="42">
        <v>0</v>
      </c>
      <c r="T288" s="37" t="b">
        <v>0</v>
      </c>
      <c r="U288" s="93"/>
      <c r="V288" s="93"/>
      <c r="W288" s="158"/>
      <c r="X288" s="6"/>
    </row>
    <row r="289" spans="2:24" ht="21" x14ac:dyDescent="0.45">
      <c r="B289" s="230"/>
      <c r="C289" s="70"/>
      <c r="D289" s="70"/>
      <c r="E289" s="215"/>
      <c r="F289" s="24"/>
      <c r="G289" s="58"/>
      <c r="H289" s="245"/>
      <c r="I289" s="48"/>
      <c r="J289" s="146"/>
      <c r="K289" s="177"/>
      <c r="L289" s="210"/>
      <c r="M289" s="64"/>
      <c r="N289" s="242"/>
      <c r="O289" s="203" t="s">
        <v>249</v>
      </c>
      <c r="P289" s="198" t="s">
        <v>353</v>
      </c>
      <c r="Q289" s="118">
        <f>N281*0.5</f>
        <v>1.560624E-2</v>
      </c>
      <c r="R289" s="16" t="s">
        <v>369</v>
      </c>
      <c r="S289" s="42">
        <v>3</v>
      </c>
      <c r="T289" s="37" t="b">
        <v>0</v>
      </c>
      <c r="U289" s="84" cm="1">
        <f t="array" ref="U289">SUMPRODUCT(S289:S292,--T289:T292)</f>
        <v>0</v>
      </c>
      <c r="V289" s="85"/>
      <c r="W289" s="152">
        <f>U289/S289*Q289*100</f>
        <v>0</v>
      </c>
      <c r="X289" s="6"/>
    </row>
    <row r="290" spans="2:24" ht="21" x14ac:dyDescent="0.45">
      <c r="B290" s="230"/>
      <c r="C290" s="70"/>
      <c r="D290" s="70"/>
      <c r="E290" s="215"/>
      <c r="F290" s="24"/>
      <c r="G290" s="58"/>
      <c r="H290" s="245"/>
      <c r="I290" s="48"/>
      <c r="J290" s="146"/>
      <c r="K290" s="177"/>
      <c r="L290" s="210"/>
      <c r="M290" s="64"/>
      <c r="N290" s="242"/>
      <c r="O290" s="203"/>
      <c r="P290" s="199"/>
      <c r="Q290" s="119"/>
      <c r="R290" s="16" t="s">
        <v>368</v>
      </c>
      <c r="S290" s="42">
        <v>2</v>
      </c>
      <c r="T290" s="37" t="b">
        <v>0</v>
      </c>
      <c r="U290" s="91"/>
      <c r="V290" s="91"/>
      <c r="W290" s="158"/>
      <c r="X290" s="6"/>
    </row>
    <row r="291" spans="2:24" ht="21" x14ac:dyDescent="0.45">
      <c r="B291" s="230"/>
      <c r="C291" s="70"/>
      <c r="D291" s="70"/>
      <c r="E291" s="215"/>
      <c r="F291" s="24"/>
      <c r="G291" s="58"/>
      <c r="H291" s="245"/>
      <c r="I291" s="48"/>
      <c r="J291" s="146"/>
      <c r="K291" s="177"/>
      <c r="L291" s="210"/>
      <c r="M291" s="64"/>
      <c r="N291" s="242"/>
      <c r="O291" s="203"/>
      <c r="P291" s="199"/>
      <c r="Q291" s="119"/>
      <c r="R291" s="16" t="s">
        <v>367</v>
      </c>
      <c r="S291" s="42">
        <v>1</v>
      </c>
      <c r="T291" s="37" t="b">
        <v>0</v>
      </c>
      <c r="U291" s="91"/>
      <c r="V291" s="91"/>
      <c r="W291" s="158"/>
      <c r="X291" s="6"/>
    </row>
    <row r="292" spans="2:24" ht="21" x14ac:dyDescent="0.45">
      <c r="B292" s="230"/>
      <c r="C292" s="70"/>
      <c r="D292" s="70"/>
      <c r="E292" s="215"/>
      <c r="F292" s="24"/>
      <c r="G292" s="58"/>
      <c r="H292" s="245"/>
      <c r="I292" s="48"/>
      <c r="J292" s="146"/>
      <c r="K292" s="177"/>
      <c r="L292" s="210"/>
      <c r="M292" s="64"/>
      <c r="N292" s="242"/>
      <c r="O292" s="203"/>
      <c r="P292" s="200"/>
      <c r="Q292" s="120"/>
      <c r="R292" s="16" t="s">
        <v>366</v>
      </c>
      <c r="S292" s="42">
        <v>0</v>
      </c>
      <c r="T292" s="37" t="b">
        <v>0</v>
      </c>
      <c r="U292" s="93"/>
      <c r="V292" s="93"/>
      <c r="W292" s="158"/>
      <c r="X292" s="6"/>
    </row>
    <row r="293" spans="2:24" ht="21" x14ac:dyDescent="0.45">
      <c r="B293" s="230"/>
      <c r="C293" s="70"/>
      <c r="D293" s="70"/>
      <c r="E293" s="215"/>
      <c r="F293" s="24"/>
      <c r="G293" s="58"/>
      <c r="H293" s="245"/>
      <c r="I293" s="48"/>
      <c r="J293" s="146"/>
      <c r="K293" s="177"/>
      <c r="L293" s="210"/>
      <c r="M293" s="64"/>
      <c r="N293" s="242"/>
      <c r="O293" s="203"/>
      <c r="P293" s="198" t="s">
        <v>354</v>
      </c>
      <c r="Q293" s="118">
        <f>N281*0.5</f>
        <v>1.560624E-2</v>
      </c>
      <c r="R293" s="16" t="s">
        <v>373</v>
      </c>
      <c r="S293" s="42">
        <v>1</v>
      </c>
      <c r="T293" s="37" t="b">
        <v>0</v>
      </c>
      <c r="U293" s="84" cm="1">
        <f t="array" ref="U293">SUMPRODUCT(S293:S296,--T293:T296)</f>
        <v>0</v>
      </c>
      <c r="V293" s="85" cm="1">
        <f t="array" ref="V293">IF(
4=0,
  "",
  _xlfn.IFS(
    U293/4&gt;=0.8, 5,
    U293/4&gt;=0.6, 4,
    U293/4&gt;=0.4, 3,
    U293/4&gt;=0.2, 2,
    U293/4&gt;=0.1, 1,
    TRUE, 0
  )
)</f>
        <v>0</v>
      </c>
      <c r="W293" s="152">
        <f>V293/5*Q293*100</f>
        <v>0</v>
      </c>
      <c r="X293" s="239" t="s">
        <v>435</v>
      </c>
    </row>
    <row r="294" spans="2:24" ht="21" x14ac:dyDescent="0.45">
      <c r="B294" s="230"/>
      <c r="C294" s="70"/>
      <c r="D294" s="70"/>
      <c r="E294" s="215"/>
      <c r="F294" s="24"/>
      <c r="G294" s="58"/>
      <c r="H294" s="245"/>
      <c r="I294" s="48"/>
      <c r="J294" s="146"/>
      <c r="K294" s="177"/>
      <c r="L294" s="210"/>
      <c r="M294" s="64"/>
      <c r="N294" s="242"/>
      <c r="O294" s="203"/>
      <c r="P294" s="199"/>
      <c r="Q294" s="119"/>
      <c r="R294" s="16" t="s">
        <v>376</v>
      </c>
      <c r="S294" s="42">
        <v>1</v>
      </c>
      <c r="T294" s="37" t="b">
        <v>0</v>
      </c>
      <c r="U294" s="91"/>
      <c r="V294" s="91"/>
      <c r="W294" s="158"/>
      <c r="X294" s="240"/>
    </row>
    <row r="295" spans="2:24" ht="21" x14ac:dyDescent="0.45">
      <c r="B295" s="230"/>
      <c r="C295" s="70"/>
      <c r="D295" s="70"/>
      <c r="E295" s="215"/>
      <c r="F295" s="24"/>
      <c r="G295" s="58"/>
      <c r="H295" s="245"/>
      <c r="I295" s="48"/>
      <c r="J295" s="146"/>
      <c r="K295" s="177"/>
      <c r="L295" s="210"/>
      <c r="M295" s="64"/>
      <c r="N295" s="242"/>
      <c r="O295" s="203"/>
      <c r="P295" s="199"/>
      <c r="Q295" s="119"/>
      <c r="R295" s="16" t="s">
        <v>375</v>
      </c>
      <c r="S295" s="42">
        <v>1</v>
      </c>
      <c r="T295" s="37" t="b">
        <v>0</v>
      </c>
      <c r="U295" s="91"/>
      <c r="V295" s="91"/>
      <c r="W295" s="158"/>
      <c r="X295" s="240"/>
    </row>
    <row r="296" spans="2:24" ht="21" x14ac:dyDescent="0.45">
      <c r="B296" s="230"/>
      <c r="C296" s="70"/>
      <c r="D296" s="70"/>
      <c r="E296" s="215"/>
      <c r="F296" s="24"/>
      <c r="G296" s="58"/>
      <c r="H296" s="245"/>
      <c r="I296" s="48"/>
      <c r="J296" s="146"/>
      <c r="K296" s="177"/>
      <c r="L296" s="210"/>
      <c r="M296" s="64"/>
      <c r="N296" s="242"/>
      <c r="O296" s="203"/>
      <c r="P296" s="200"/>
      <c r="Q296" s="120"/>
      <c r="R296" s="16" t="s">
        <v>374</v>
      </c>
      <c r="S296" s="42">
        <v>1</v>
      </c>
      <c r="T296" s="37" t="b">
        <v>0</v>
      </c>
      <c r="U296" s="93"/>
      <c r="V296" s="93"/>
      <c r="W296" s="158"/>
      <c r="X296" s="241"/>
    </row>
    <row r="297" spans="2:24" ht="21" x14ac:dyDescent="0.45">
      <c r="B297" s="230"/>
      <c r="C297" s="70"/>
      <c r="D297" s="70"/>
      <c r="E297" s="215"/>
      <c r="F297" s="24"/>
      <c r="G297" s="58"/>
      <c r="H297" s="245"/>
      <c r="I297" s="48"/>
      <c r="J297" s="146"/>
      <c r="K297" s="177"/>
      <c r="L297" s="210"/>
      <c r="M297" s="64"/>
      <c r="N297" s="242"/>
      <c r="O297" s="203" t="s">
        <v>250</v>
      </c>
      <c r="P297" s="198" t="s">
        <v>357</v>
      </c>
      <c r="Q297" s="118">
        <f>N281*0.5</f>
        <v>1.560624E-2</v>
      </c>
      <c r="R297" s="16" t="s">
        <v>377</v>
      </c>
      <c r="S297" s="42">
        <v>3</v>
      </c>
      <c r="T297" s="37" t="b">
        <v>0</v>
      </c>
      <c r="U297" s="84" cm="1">
        <f t="array" ref="U297">SUMPRODUCT(S297:S300,--T297:T300)</f>
        <v>0</v>
      </c>
      <c r="V297" s="85"/>
      <c r="W297" s="152">
        <f>U297/S297*Q297*100</f>
        <v>0</v>
      </c>
      <c r="X297" s="6"/>
    </row>
    <row r="298" spans="2:24" ht="21" x14ac:dyDescent="0.45">
      <c r="B298" s="230"/>
      <c r="C298" s="70"/>
      <c r="D298" s="70"/>
      <c r="E298" s="215"/>
      <c r="F298" s="24"/>
      <c r="G298" s="58"/>
      <c r="H298" s="245"/>
      <c r="I298" s="48"/>
      <c r="J298" s="146"/>
      <c r="K298" s="177"/>
      <c r="L298" s="210"/>
      <c r="M298" s="64"/>
      <c r="N298" s="242"/>
      <c r="O298" s="203"/>
      <c r="P298" s="199"/>
      <c r="Q298" s="119"/>
      <c r="R298" s="16" t="s">
        <v>378</v>
      </c>
      <c r="S298" s="42">
        <v>2</v>
      </c>
      <c r="T298" s="37" t="b">
        <v>0</v>
      </c>
      <c r="U298" s="91"/>
      <c r="V298" s="91"/>
      <c r="W298" s="158"/>
      <c r="X298" s="6"/>
    </row>
    <row r="299" spans="2:24" ht="21" x14ac:dyDescent="0.45">
      <c r="B299" s="230"/>
      <c r="C299" s="70"/>
      <c r="D299" s="70"/>
      <c r="E299" s="215"/>
      <c r="F299" s="24"/>
      <c r="G299" s="58"/>
      <c r="H299" s="245"/>
      <c r="I299" s="48"/>
      <c r="J299" s="146"/>
      <c r="K299" s="177"/>
      <c r="L299" s="210"/>
      <c r="M299" s="64"/>
      <c r="N299" s="242"/>
      <c r="O299" s="203"/>
      <c r="P299" s="199"/>
      <c r="Q299" s="119"/>
      <c r="R299" s="16" t="s">
        <v>379</v>
      </c>
      <c r="S299" s="42">
        <v>1</v>
      </c>
      <c r="T299" s="37" t="b">
        <v>0</v>
      </c>
      <c r="U299" s="91"/>
      <c r="V299" s="91"/>
      <c r="W299" s="158"/>
      <c r="X299" s="6"/>
    </row>
    <row r="300" spans="2:24" ht="21" x14ac:dyDescent="0.45">
      <c r="B300" s="230"/>
      <c r="C300" s="70"/>
      <c r="D300" s="70"/>
      <c r="E300" s="215"/>
      <c r="F300" s="24"/>
      <c r="G300" s="58"/>
      <c r="H300" s="245"/>
      <c r="I300" s="48"/>
      <c r="J300" s="146"/>
      <c r="K300" s="177"/>
      <c r="L300" s="210"/>
      <c r="M300" s="64"/>
      <c r="N300" s="242"/>
      <c r="O300" s="203"/>
      <c r="P300" s="200"/>
      <c r="Q300" s="120"/>
      <c r="R300" s="16" t="s">
        <v>380</v>
      </c>
      <c r="S300" s="42">
        <v>0</v>
      </c>
      <c r="T300" s="37" t="b">
        <v>0</v>
      </c>
      <c r="U300" s="93"/>
      <c r="V300" s="93"/>
      <c r="W300" s="158"/>
      <c r="X300" s="6"/>
    </row>
    <row r="301" spans="2:24" ht="21" x14ac:dyDescent="0.45">
      <c r="B301" s="230"/>
      <c r="C301" s="70"/>
      <c r="D301" s="70"/>
      <c r="E301" s="215"/>
      <c r="F301" s="24"/>
      <c r="G301" s="58"/>
      <c r="H301" s="245"/>
      <c r="I301" s="48"/>
      <c r="J301" s="146"/>
      <c r="K301" s="177"/>
      <c r="L301" s="210"/>
      <c r="M301" s="64"/>
      <c r="N301" s="242"/>
      <c r="O301" s="203"/>
      <c r="P301" s="198" t="s">
        <v>358</v>
      </c>
      <c r="Q301" s="118">
        <f>N281*0.5</f>
        <v>1.560624E-2</v>
      </c>
      <c r="R301" s="16" t="s">
        <v>400</v>
      </c>
      <c r="S301" s="42">
        <v>3</v>
      </c>
      <c r="T301" s="37" t="b">
        <v>0</v>
      </c>
      <c r="U301" s="84" cm="1">
        <f t="array" ref="U301">SUMPRODUCT(S301:S304,--T301:T304)</f>
        <v>0</v>
      </c>
      <c r="V301" s="85"/>
      <c r="W301" s="152">
        <f>U301/S301*Q301*100</f>
        <v>0</v>
      </c>
      <c r="X301" s="6"/>
    </row>
    <row r="302" spans="2:24" ht="21" x14ac:dyDescent="0.45">
      <c r="B302" s="230"/>
      <c r="C302" s="70"/>
      <c r="D302" s="70"/>
      <c r="E302" s="215"/>
      <c r="F302" s="24"/>
      <c r="G302" s="58"/>
      <c r="H302" s="245"/>
      <c r="I302" s="48"/>
      <c r="J302" s="146"/>
      <c r="K302" s="177"/>
      <c r="L302" s="210"/>
      <c r="M302" s="64"/>
      <c r="N302" s="242"/>
      <c r="O302" s="203"/>
      <c r="P302" s="199"/>
      <c r="Q302" s="119"/>
      <c r="R302" s="16" t="s">
        <v>401</v>
      </c>
      <c r="S302" s="42">
        <v>2</v>
      </c>
      <c r="T302" s="37" t="b">
        <v>0</v>
      </c>
      <c r="U302" s="91"/>
      <c r="V302" s="91"/>
      <c r="W302" s="158"/>
      <c r="X302" s="6"/>
    </row>
    <row r="303" spans="2:24" ht="21" x14ac:dyDescent="0.45">
      <c r="B303" s="230"/>
      <c r="C303" s="70"/>
      <c r="D303" s="70"/>
      <c r="E303" s="215"/>
      <c r="F303" s="24"/>
      <c r="G303" s="58"/>
      <c r="H303" s="245"/>
      <c r="I303" s="48"/>
      <c r="J303" s="146"/>
      <c r="K303" s="177"/>
      <c r="L303" s="210"/>
      <c r="M303" s="64"/>
      <c r="N303" s="242"/>
      <c r="O303" s="203"/>
      <c r="P303" s="199"/>
      <c r="Q303" s="119"/>
      <c r="R303" s="16" t="s">
        <v>381</v>
      </c>
      <c r="S303" s="42">
        <v>1</v>
      </c>
      <c r="T303" s="37" t="b">
        <v>0</v>
      </c>
      <c r="U303" s="91"/>
      <c r="V303" s="91"/>
      <c r="W303" s="158"/>
      <c r="X303" s="6"/>
    </row>
    <row r="304" spans="2:24" ht="21" x14ac:dyDescent="0.45">
      <c r="B304" s="230"/>
      <c r="C304" s="70"/>
      <c r="D304" s="70"/>
      <c r="E304" s="215"/>
      <c r="F304" s="24"/>
      <c r="G304" s="58"/>
      <c r="H304" s="245"/>
      <c r="I304" s="48"/>
      <c r="J304" s="146"/>
      <c r="K304" s="177"/>
      <c r="L304" s="210"/>
      <c r="M304" s="64"/>
      <c r="N304" s="242"/>
      <c r="O304" s="203"/>
      <c r="P304" s="200"/>
      <c r="Q304" s="120"/>
      <c r="R304" s="16" t="s">
        <v>402</v>
      </c>
      <c r="S304" s="42">
        <v>0</v>
      </c>
      <c r="T304" s="37" t="b">
        <v>0</v>
      </c>
      <c r="U304" s="93"/>
      <c r="V304" s="93"/>
      <c r="W304" s="158"/>
      <c r="X304" s="6"/>
    </row>
    <row r="305" spans="2:24" ht="21" x14ac:dyDescent="0.45">
      <c r="B305" s="230"/>
      <c r="C305" s="70"/>
      <c r="D305" s="70"/>
      <c r="E305" s="215"/>
      <c r="F305" s="24"/>
      <c r="G305" s="58"/>
      <c r="H305" s="245"/>
      <c r="I305" s="48"/>
      <c r="J305" s="146"/>
      <c r="K305" s="177"/>
      <c r="L305" s="210"/>
      <c r="M305" s="64"/>
      <c r="N305" s="242"/>
      <c r="O305" s="203" t="s">
        <v>261</v>
      </c>
      <c r="P305" s="198" t="s">
        <v>359</v>
      </c>
      <c r="Q305" s="118">
        <f>N281*0.5</f>
        <v>1.560624E-2</v>
      </c>
      <c r="R305" s="16" t="s">
        <v>384</v>
      </c>
      <c r="S305" s="42">
        <v>3</v>
      </c>
      <c r="T305" s="37" t="b">
        <v>0</v>
      </c>
      <c r="U305" s="84" cm="1">
        <f t="array" ref="U305">SUMPRODUCT(S305:S308,--T305:T308)</f>
        <v>0</v>
      </c>
      <c r="V305" s="85"/>
      <c r="W305" s="152">
        <f>U305/S305*Q305*100</f>
        <v>0</v>
      </c>
      <c r="X305" s="6"/>
    </row>
    <row r="306" spans="2:24" ht="21" x14ac:dyDescent="0.45">
      <c r="B306" s="230"/>
      <c r="C306" s="70"/>
      <c r="D306" s="70"/>
      <c r="E306" s="215"/>
      <c r="F306" s="24"/>
      <c r="G306" s="58"/>
      <c r="H306" s="245"/>
      <c r="I306" s="48"/>
      <c r="J306" s="146"/>
      <c r="K306" s="177"/>
      <c r="L306" s="210"/>
      <c r="M306" s="64"/>
      <c r="N306" s="242"/>
      <c r="O306" s="203"/>
      <c r="P306" s="199"/>
      <c r="Q306" s="119"/>
      <c r="R306" s="16" t="s">
        <v>385</v>
      </c>
      <c r="S306" s="42">
        <v>2</v>
      </c>
      <c r="T306" s="37" t="b">
        <v>0</v>
      </c>
      <c r="U306" s="91"/>
      <c r="V306" s="91"/>
      <c r="W306" s="158"/>
      <c r="X306" s="6"/>
    </row>
    <row r="307" spans="2:24" ht="21" x14ac:dyDescent="0.45">
      <c r="B307" s="230"/>
      <c r="C307" s="70"/>
      <c r="D307" s="70"/>
      <c r="E307" s="215"/>
      <c r="F307" s="24"/>
      <c r="G307" s="58"/>
      <c r="H307" s="245"/>
      <c r="I307" s="48"/>
      <c r="J307" s="146"/>
      <c r="K307" s="177"/>
      <c r="L307" s="210"/>
      <c r="M307" s="64"/>
      <c r="N307" s="242"/>
      <c r="O307" s="203"/>
      <c r="P307" s="199"/>
      <c r="Q307" s="119"/>
      <c r="R307" s="16" t="s">
        <v>383</v>
      </c>
      <c r="S307" s="42">
        <v>1</v>
      </c>
      <c r="T307" s="37" t="b">
        <v>0</v>
      </c>
      <c r="U307" s="91"/>
      <c r="V307" s="91"/>
      <c r="W307" s="158"/>
      <c r="X307" s="6"/>
    </row>
    <row r="308" spans="2:24" ht="21" x14ac:dyDescent="0.45">
      <c r="B308" s="230"/>
      <c r="C308" s="70"/>
      <c r="D308" s="70"/>
      <c r="E308" s="215"/>
      <c r="F308" s="24"/>
      <c r="G308" s="58"/>
      <c r="H308" s="245"/>
      <c r="I308" s="48"/>
      <c r="J308" s="146"/>
      <c r="K308" s="177"/>
      <c r="L308" s="210"/>
      <c r="M308" s="64"/>
      <c r="N308" s="242"/>
      <c r="O308" s="203"/>
      <c r="P308" s="200"/>
      <c r="Q308" s="120"/>
      <c r="R308" s="16" t="s">
        <v>382</v>
      </c>
      <c r="S308" s="42">
        <v>0</v>
      </c>
      <c r="T308" s="37" t="b">
        <v>0</v>
      </c>
      <c r="U308" s="93"/>
      <c r="V308" s="93"/>
      <c r="W308" s="158"/>
      <c r="X308" s="6"/>
    </row>
    <row r="309" spans="2:24" ht="21" x14ac:dyDescent="0.45">
      <c r="B309" s="230"/>
      <c r="C309" s="70"/>
      <c r="D309" s="70"/>
      <c r="E309" s="215"/>
      <c r="F309" s="24"/>
      <c r="G309" s="58"/>
      <c r="H309" s="245"/>
      <c r="I309" s="48"/>
      <c r="J309" s="146"/>
      <c r="K309" s="177"/>
      <c r="L309" s="210"/>
      <c r="M309" s="64"/>
      <c r="N309" s="242"/>
      <c r="O309" s="203"/>
      <c r="P309" s="198" t="s">
        <v>360</v>
      </c>
      <c r="Q309" s="118">
        <f>N281*0.5</f>
        <v>1.560624E-2</v>
      </c>
      <c r="R309" s="16" t="s">
        <v>386</v>
      </c>
      <c r="S309" s="42">
        <v>3</v>
      </c>
      <c r="T309" s="37" t="b">
        <v>0</v>
      </c>
      <c r="U309" s="84" cm="1">
        <f t="array" ref="U309">SUMPRODUCT(S309:S312,--T309:T312)</f>
        <v>0</v>
      </c>
      <c r="V309" s="85"/>
      <c r="W309" s="152">
        <f>U309/S309*Q309*100</f>
        <v>0</v>
      </c>
      <c r="X309" s="6"/>
    </row>
    <row r="310" spans="2:24" ht="21" x14ac:dyDescent="0.45">
      <c r="B310" s="230"/>
      <c r="C310" s="70"/>
      <c r="D310" s="70"/>
      <c r="E310" s="215"/>
      <c r="F310" s="24"/>
      <c r="G310" s="58"/>
      <c r="H310" s="245"/>
      <c r="I310" s="48"/>
      <c r="J310" s="146"/>
      <c r="K310" s="177"/>
      <c r="L310" s="210"/>
      <c r="M310" s="64"/>
      <c r="N310" s="242"/>
      <c r="O310" s="203"/>
      <c r="P310" s="199"/>
      <c r="Q310" s="119"/>
      <c r="R310" s="16" t="s">
        <v>387</v>
      </c>
      <c r="S310" s="42">
        <v>2</v>
      </c>
      <c r="T310" s="37" t="b">
        <v>0</v>
      </c>
      <c r="U310" s="91"/>
      <c r="V310" s="91"/>
      <c r="W310" s="158"/>
      <c r="X310" s="6"/>
    </row>
    <row r="311" spans="2:24" ht="21" x14ac:dyDescent="0.45">
      <c r="B311" s="230"/>
      <c r="C311" s="70"/>
      <c r="D311" s="70"/>
      <c r="E311" s="215"/>
      <c r="F311" s="24"/>
      <c r="G311" s="58"/>
      <c r="H311" s="245"/>
      <c r="I311" s="48"/>
      <c r="J311" s="146"/>
      <c r="K311" s="177"/>
      <c r="L311" s="210"/>
      <c r="M311" s="64"/>
      <c r="N311" s="242"/>
      <c r="O311" s="203"/>
      <c r="P311" s="199"/>
      <c r="Q311" s="119"/>
      <c r="R311" s="16" t="s">
        <v>388</v>
      </c>
      <c r="S311" s="42">
        <v>1</v>
      </c>
      <c r="T311" s="37" t="b">
        <v>0</v>
      </c>
      <c r="U311" s="91"/>
      <c r="V311" s="91"/>
      <c r="W311" s="158"/>
      <c r="X311" s="6"/>
    </row>
    <row r="312" spans="2:24" ht="21" x14ac:dyDescent="0.45">
      <c r="B312" s="230"/>
      <c r="C312" s="70"/>
      <c r="D312" s="70"/>
      <c r="E312" s="215"/>
      <c r="F312" s="24"/>
      <c r="G312" s="58"/>
      <c r="H312" s="245"/>
      <c r="I312" s="48"/>
      <c r="J312" s="146"/>
      <c r="K312" s="177"/>
      <c r="L312" s="210"/>
      <c r="M312" s="64"/>
      <c r="N312" s="242"/>
      <c r="O312" s="203"/>
      <c r="P312" s="200"/>
      <c r="Q312" s="120"/>
      <c r="R312" s="16" t="s">
        <v>389</v>
      </c>
      <c r="S312" s="42">
        <v>0</v>
      </c>
      <c r="T312" s="37" t="b">
        <v>0</v>
      </c>
      <c r="U312" s="93"/>
      <c r="V312" s="93"/>
      <c r="W312" s="158"/>
      <c r="X312" s="6"/>
    </row>
    <row r="313" spans="2:24" ht="21" x14ac:dyDescent="0.45">
      <c r="B313" s="230"/>
      <c r="C313" s="70"/>
      <c r="D313" s="70"/>
      <c r="E313" s="215"/>
      <c r="F313" s="24"/>
      <c r="G313" s="58"/>
      <c r="H313" s="245"/>
      <c r="I313" s="48"/>
      <c r="J313" s="146"/>
      <c r="K313" s="177"/>
      <c r="L313" s="210"/>
      <c r="M313" s="64"/>
      <c r="N313" s="242"/>
      <c r="O313" s="203" t="s">
        <v>266</v>
      </c>
      <c r="P313" s="198" t="s">
        <v>355</v>
      </c>
      <c r="Q313" s="118">
        <f>N281*0.5</f>
        <v>1.560624E-2</v>
      </c>
      <c r="R313" s="16" t="s">
        <v>391</v>
      </c>
      <c r="S313" s="42">
        <v>4</v>
      </c>
      <c r="T313" s="37" t="b">
        <v>0</v>
      </c>
      <c r="U313" s="84" cm="1">
        <f t="array" ref="U313">SUMPRODUCT(S313:S317,--T313:T317)</f>
        <v>0</v>
      </c>
      <c r="V313" s="85"/>
      <c r="W313" s="152">
        <f>U313/S313*Q313*100</f>
        <v>0</v>
      </c>
      <c r="X313" s="6"/>
    </row>
    <row r="314" spans="2:24" ht="21" x14ac:dyDescent="0.45">
      <c r="B314" s="230"/>
      <c r="C314" s="70"/>
      <c r="D314" s="70"/>
      <c r="E314" s="215"/>
      <c r="F314" s="24"/>
      <c r="G314" s="58"/>
      <c r="H314" s="245"/>
      <c r="I314" s="48"/>
      <c r="J314" s="146"/>
      <c r="K314" s="177"/>
      <c r="L314" s="210"/>
      <c r="M314" s="64"/>
      <c r="N314" s="242"/>
      <c r="O314" s="203"/>
      <c r="P314" s="199"/>
      <c r="Q314" s="119"/>
      <c r="R314" s="16" t="s">
        <v>392</v>
      </c>
      <c r="S314" s="42">
        <v>3</v>
      </c>
      <c r="T314" s="37" t="b">
        <v>0</v>
      </c>
      <c r="U314" s="91"/>
      <c r="V314" s="91"/>
      <c r="W314" s="158"/>
      <c r="X314" s="6"/>
    </row>
    <row r="315" spans="2:24" ht="21" x14ac:dyDescent="0.45">
      <c r="B315" s="230"/>
      <c r="C315" s="70"/>
      <c r="D315" s="70"/>
      <c r="E315" s="215"/>
      <c r="F315" s="24"/>
      <c r="G315" s="58"/>
      <c r="H315" s="245"/>
      <c r="I315" s="48"/>
      <c r="J315" s="146"/>
      <c r="K315" s="177"/>
      <c r="L315" s="210"/>
      <c r="M315" s="64"/>
      <c r="N315" s="242"/>
      <c r="O315" s="203"/>
      <c r="P315" s="199"/>
      <c r="Q315" s="119"/>
      <c r="R315" s="16" t="s">
        <v>393</v>
      </c>
      <c r="S315" s="42">
        <v>2</v>
      </c>
      <c r="T315" s="37" t="b">
        <v>0</v>
      </c>
      <c r="U315" s="91"/>
      <c r="V315" s="91"/>
      <c r="W315" s="158"/>
      <c r="X315" s="6"/>
    </row>
    <row r="316" spans="2:24" ht="21" x14ac:dyDescent="0.45">
      <c r="B316" s="230"/>
      <c r="C316" s="70"/>
      <c r="D316" s="70"/>
      <c r="E316" s="215"/>
      <c r="F316" s="24"/>
      <c r="G316" s="58"/>
      <c r="H316" s="245"/>
      <c r="I316" s="48"/>
      <c r="J316" s="146"/>
      <c r="K316" s="177"/>
      <c r="L316" s="210"/>
      <c r="M316" s="64"/>
      <c r="N316" s="242"/>
      <c r="O316" s="203"/>
      <c r="P316" s="199"/>
      <c r="Q316" s="119"/>
      <c r="R316" s="16" t="s">
        <v>394</v>
      </c>
      <c r="S316" s="42">
        <v>1</v>
      </c>
      <c r="T316" s="37" t="b">
        <v>0</v>
      </c>
      <c r="U316" s="91"/>
      <c r="V316" s="91"/>
      <c r="W316" s="158"/>
      <c r="X316" s="6"/>
    </row>
    <row r="317" spans="2:24" ht="21" x14ac:dyDescent="0.45">
      <c r="B317" s="230"/>
      <c r="C317" s="70"/>
      <c r="D317" s="70"/>
      <c r="E317" s="215"/>
      <c r="F317" s="24"/>
      <c r="G317" s="58"/>
      <c r="H317" s="245"/>
      <c r="I317" s="48"/>
      <c r="J317" s="146"/>
      <c r="K317" s="177"/>
      <c r="L317" s="210"/>
      <c r="M317" s="64"/>
      <c r="N317" s="242"/>
      <c r="O317" s="203"/>
      <c r="P317" s="200"/>
      <c r="Q317" s="120"/>
      <c r="R317" s="16" t="s">
        <v>390</v>
      </c>
      <c r="S317" s="42">
        <v>0</v>
      </c>
      <c r="T317" s="37" t="b">
        <v>0</v>
      </c>
      <c r="U317" s="93"/>
      <c r="V317" s="93"/>
      <c r="W317" s="158"/>
      <c r="X317" s="6"/>
    </row>
    <row r="318" spans="2:24" ht="21" x14ac:dyDescent="0.45">
      <c r="B318" s="230"/>
      <c r="C318" s="70"/>
      <c r="D318" s="70"/>
      <c r="E318" s="215"/>
      <c r="F318" s="24"/>
      <c r="G318" s="58"/>
      <c r="H318" s="245"/>
      <c r="I318" s="48"/>
      <c r="J318" s="146"/>
      <c r="K318" s="177"/>
      <c r="L318" s="210"/>
      <c r="M318" s="64"/>
      <c r="N318" s="242"/>
      <c r="O318" s="203"/>
      <c r="P318" s="198" t="s">
        <v>356</v>
      </c>
      <c r="Q318" s="118">
        <f>N281*0.5</f>
        <v>1.560624E-2</v>
      </c>
      <c r="R318" s="16" t="s">
        <v>399</v>
      </c>
      <c r="S318" s="42">
        <v>4</v>
      </c>
      <c r="T318" s="37" t="b">
        <v>0</v>
      </c>
      <c r="U318" s="84" cm="1">
        <f t="array" ref="U318">SUMPRODUCT(S318:S322,--T318:T322)</f>
        <v>0</v>
      </c>
      <c r="V318" s="85"/>
      <c r="W318" s="152">
        <f>U318/S318*Q318*100</f>
        <v>0</v>
      </c>
      <c r="X318" s="6"/>
    </row>
    <row r="319" spans="2:24" ht="21" x14ac:dyDescent="0.45">
      <c r="B319" s="230"/>
      <c r="C319" s="70"/>
      <c r="D319" s="70"/>
      <c r="E319" s="215"/>
      <c r="F319" s="24"/>
      <c r="G319" s="58"/>
      <c r="H319" s="245"/>
      <c r="I319" s="48"/>
      <c r="J319" s="146"/>
      <c r="K319" s="177"/>
      <c r="L319" s="210"/>
      <c r="M319" s="64"/>
      <c r="N319" s="242"/>
      <c r="O319" s="203"/>
      <c r="P319" s="199"/>
      <c r="Q319" s="114"/>
      <c r="R319" s="16" t="s">
        <v>398</v>
      </c>
      <c r="S319" s="42">
        <v>3</v>
      </c>
      <c r="T319" s="37" t="b">
        <v>0</v>
      </c>
      <c r="U319" s="91"/>
      <c r="V319" s="91"/>
      <c r="W319" s="158"/>
      <c r="X319" s="6"/>
    </row>
    <row r="320" spans="2:24" ht="21" x14ac:dyDescent="0.45">
      <c r="B320" s="230"/>
      <c r="C320" s="70"/>
      <c r="D320" s="70"/>
      <c r="E320" s="215"/>
      <c r="F320" s="24"/>
      <c r="G320" s="58"/>
      <c r="H320" s="245"/>
      <c r="I320" s="48"/>
      <c r="J320" s="146"/>
      <c r="K320" s="177"/>
      <c r="L320" s="210"/>
      <c r="M320" s="64"/>
      <c r="N320" s="242"/>
      <c r="O320" s="203"/>
      <c r="P320" s="199"/>
      <c r="Q320" s="114"/>
      <c r="R320" s="16" t="s">
        <v>396</v>
      </c>
      <c r="S320" s="42">
        <v>2</v>
      </c>
      <c r="T320" s="37" t="b">
        <v>0</v>
      </c>
      <c r="U320" s="91"/>
      <c r="V320" s="91"/>
      <c r="W320" s="158"/>
      <c r="X320" s="6"/>
    </row>
    <row r="321" spans="2:24" ht="21" x14ac:dyDescent="0.45">
      <c r="B321" s="230"/>
      <c r="C321" s="70"/>
      <c r="D321" s="70"/>
      <c r="E321" s="215"/>
      <c r="F321" s="24"/>
      <c r="G321" s="58"/>
      <c r="H321" s="245"/>
      <c r="I321" s="48"/>
      <c r="J321" s="146"/>
      <c r="K321" s="177"/>
      <c r="L321" s="210"/>
      <c r="M321" s="64"/>
      <c r="N321" s="242"/>
      <c r="O321" s="203"/>
      <c r="P321" s="199"/>
      <c r="Q321" s="114"/>
      <c r="R321" s="16" t="s">
        <v>395</v>
      </c>
      <c r="S321" s="42">
        <v>1</v>
      </c>
      <c r="T321" s="37" t="b">
        <v>0</v>
      </c>
      <c r="U321" s="91"/>
      <c r="V321" s="91"/>
      <c r="W321" s="158"/>
      <c r="X321" s="6"/>
    </row>
    <row r="322" spans="2:24" ht="21" x14ac:dyDescent="0.45">
      <c r="B322" s="230"/>
      <c r="C322" s="70"/>
      <c r="D322" s="70"/>
      <c r="E322" s="216"/>
      <c r="F322" s="25"/>
      <c r="G322" s="59"/>
      <c r="H322" s="246"/>
      <c r="I322" s="49"/>
      <c r="J322" s="147"/>
      <c r="K322" s="178"/>
      <c r="L322" s="206"/>
      <c r="M322" s="63"/>
      <c r="N322" s="243"/>
      <c r="O322" s="203"/>
      <c r="P322" s="200"/>
      <c r="Q322" s="115"/>
      <c r="R322" s="16" t="s">
        <v>397</v>
      </c>
      <c r="S322" s="42">
        <v>0</v>
      </c>
      <c r="T322" s="37" t="b">
        <v>0</v>
      </c>
      <c r="U322" s="93"/>
      <c r="V322" s="93"/>
      <c r="W322" s="158"/>
      <c r="X322" s="6"/>
    </row>
    <row r="323" spans="2:24" ht="21" x14ac:dyDescent="0.45">
      <c r="B323" s="230"/>
      <c r="C323" s="70"/>
      <c r="D323" s="70"/>
      <c r="E323" s="232" t="s">
        <v>432</v>
      </c>
      <c r="F323" s="23"/>
      <c r="G323" s="74">
        <f>D92*0.267</f>
        <v>0.16020000000000001</v>
      </c>
      <c r="H323" s="207" t="s">
        <v>40</v>
      </c>
      <c r="I323" s="29"/>
      <c r="J323" s="148">
        <f>G323*0.326</f>
        <v>5.2225200000000006E-2</v>
      </c>
      <c r="K323" s="174"/>
      <c r="L323" s="205" t="s">
        <v>41</v>
      </c>
      <c r="M323" s="62"/>
      <c r="N323" s="58">
        <f>G323*0.278</f>
        <v>4.4535600000000009E-2</v>
      </c>
      <c r="O323" s="97"/>
      <c r="P323" s="198" t="s">
        <v>403</v>
      </c>
      <c r="Q323" s="118">
        <f>N323*0.5</f>
        <v>2.2267800000000004E-2</v>
      </c>
      <c r="R323" s="16" t="s">
        <v>404</v>
      </c>
      <c r="S323" s="42">
        <v>2</v>
      </c>
      <c r="T323" s="37" t="b">
        <v>0</v>
      </c>
      <c r="U323" s="84" cm="1">
        <f t="array" ref="U323">SUMPRODUCT(S323:S325,--T323:T325)</f>
        <v>0</v>
      </c>
      <c r="V323" s="85"/>
      <c r="W323" s="152">
        <f>U323/S323*Q323*100</f>
        <v>0</v>
      </c>
      <c r="X323" s="6"/>
    </row>
    <row r="324" spans="2:24" ht="21" x14ac:dyDescent="0.45">
      <c r="B324" s="230"/>
      <c r="C324" s="70"/>
      <c r="D324" s="70"/>
      <c r="E324" s="215"/>
      <c r="F324" s="24"/>
      <c r="G324" s="58"/>
      <c r="H324" s="208"/>
      <c r="I324" s="30"/>
      <c r="J324" s="149"/>
      <c r="K324" s="175"/>
      <c r="L324" s="210"/>
      <c r="M324" s="64"/>
      <c r="N324" s="64"/>
      <c r="O324" s="98"/>
      <c r="P324" s="199"/>
      <c r="Q324" s="119"/>
      <c r="R324" s="16" t="s">
        <v>405</v>
      </c>
      <c r="S324" s="42">
        <v>1</v>
      </c>
      <c r="T324" s="37" t="b">
        <v>0</v>
      </c>
      <c r="U324" s="91"/>
      <c r="V324" s="91"/>
      <c r="W324" s="158"/>
      <c r="X324" s="6"/>
    </row>
    <row r="325" spans="2:24" ht="21" x14ac:dyDescent="0.45">
      <c r="B325" s="230"/>
      <c r="C325" s="70"/>
      <c r="D325" s="70"/>
      <c r="E325" s="215"/>
      <c r="F325" s="24"/>
      <c r="G325" s="58"/>
      <c r="H325" s="208"/>
      <c r="I325" s="30"/>
      <c r="J325" s="149"/>
      <c r="K325" s="175"/>
      <c r="L325" s="210"/>
      <c r="M325" s="64"/>
      <c r="N325" s="64"/>
      <c r="O325" s="98"/>
      <c r="P325" s="200"/>
      <c r="Q325" s="120"/>
      <c r="R325" s="16" t="s">
        <v>406</v>
      </c>
      <c r="S325" s="42">
        <v>0</v>
      </c>
      <c r="T325" s="37" t="b">
        <v>0</v>
      </c>
      <c r="U325" s="93"/>
      <c r="V325" s="93"/>
      <c r="W325" s="158"/>
      <c r="X325" s="6"/>
    </row>
    <row r="326" spans="2:24" ht="21" x14ac:dyDescent="0.45">
      <c r="B326" s="230"/>
      <c r="C326" s="70"/>
      <c r="D326" s="70"/>
      <c r="E326" s="215"/>
      <c r="F326" s="24"/>
      <c r="G326" s="58"/>
      <c r="H326" s="208"/>
      <c r="I326" s="30"/>
      <c r="J326" s="149"/>
      <c r="K326" s="175"/>
      <c r="L326" s="210"/>
      <c r="M326" s="64"/>
      <c r="N326" s="64"/>
      <c r="O326" s="98"/>
      <c r="P326" s="198" t="s">
        <v>407</v>
      </c>
      <c r="Q326" s="118">
        <f>N323*0.25</f>
        <v>1.1133900000000002E-2</v>
      </c>
      <c r="R326" s="16" t="s">
        <v>408</v>
      </c>
      <c r="S326" s="42">
        <v>1</v>
      </c>
      <c r="T326" s="37" t="b">
        <v>0</v>
      </c>
      <c r="U326" s="84" cm="1">
        <f t="array" ref="U326">SUMPRODUCT(S326:S328,--T326:T328)</f>
        <v>0</v>
      </c>
      <c r="V326" s="85" cm="1">
        <f t="array" ref="V326">IF(
3=0,
  "",
  _xlfn.IFS(
    U326/3&gt;=0.8, 5,
    U326/3&gt;=0.6, 4,
    U326/3&gt;=0.4, 3,
    U326/3&gt;=0.2, 2,
    U326/3&gt;=0.1, 1,
    TRUE, 0
  )
)</f>
        <v>0</v>
      </c>
      <c r="W326" s="152">
        <f>V326/5*Q326*100</f>
        <v>0</v>
      </c>
      <c r="X326" s="239" t="s">
        <v>435</v>
      </c>
    </row>
    <row r="327" spans="2:24" ht="21" x14ac:dyDescent="0.45">
      <c r="B327" s="230"/>
      <c r="C327" s="70"/>
      <c r="D327" s="70"/>
      <c r="E327" s="215"/>
      <c r="F327" s="24"/>
      <c r="G327" s="58"/>
      <c r="H327" s="208"/>
      <c r="I327" s="30"/>
      <c r="J327" s="149"/>
      <c r="K327" s="175"/>
      <c r="L327" s="210"/>
      <c r="M327" s="64"/>
      <c r="N327" s="64"/>
      <c r="O327" s="98"/>
      <c r="P327" s="199"/>
      <c r="Q327" s="119"/>
      <c r="R327" s="16" t="s">
        <v>409</v>
      </c>
      <c r="S327" s="42">
        <v>1</v>
      </c>
      <c r="T327" s="37" t="b">
        <v>0</v>
      </c>
      <c r="U327" s="91"/>
      <c r="V327" s="91"/>
      <c r="W327" s="158"/>
      <c r="X327" s="240"/>
    </row>
    <row r="328" spans="2:24" ht="21" x14ac:dyDescent="0.45">
      <c r="B328" s="230"/>
      <c r="C328" s="70"/>
      <c r="D328" s="70"/>
      <c r="E328" s="215"/>
      <c r="F328" s="24"/>
      <c r="G328" s="58"/>
      <c r="H328" s="208"/>
      <c r="I328" s="30"/>
      <c r="J328" s="149"/>
      <c r="K328" s="175"/>
      <c r="L328" s="210"/>
      <c r="M328" s="64"/>
      <c r="N328" s="64"/>
      <c r="O328" s="98"/>
      <c r="P328" s="200"/>
      <c r="Q328" s="120"/>
      <c r="R328" s="16" t="s">
        <v>410</v>
      </c>
      <c r="S328" s="42">
        <v>1</v>
      </c>
      <c r="T328" s="37" t="b">
        <v>0</v>
      </c>
      <c r="U328" s="93"/>
      <c r="V328" s="93"/>
      <c r="W328" s="158"/>
      <c r="X328" s="241"/>
    </row>
    <row r="329" spans="2:24" ht="21" x14ac:dyDescent="0.45">
      <c r="B329" s="230"/>
      <c r="C329" s="70"/>
      <c r="D329" s="70"/>
      <c r="E329" s="215"/>
      <c r="F329" s="24"/>
      <c r="G329" s="58"/>
      <c r="H329" s="208"/>
      <c r="I329" s="30"/>
      <c r="J329" s="149"/>
      <c r="K329" s="175"/>
      <c r="L329" s="210"/>
      <c r="M329" s="64"/>
      <c r="N329" s="64"/>
      <c r="O329" s="98"/>
      <c r="P329" s="198" t="s">
        <v>411</v>
      </c>
      <c r="Q329" s="118">
        <f>N323*0.25</f>
        <v>1.1133900000000002E-2</v>
      </c>
      <c r="R329" s="16" t="s">
        <v>412</v>
      </c>
      <c r="S329" s="42">
        <v>1</v>
      </c>
      <c r="T329" s="37" t="b">
        <v>0</v>
      </c>
      <c r="U329" s="84" cm="1">
        <f t="array" ref="U329">SUMPRODUCT(S329:S331,--T329:T331)</f>
        <v>0</v>
      </c>
      <c r="V329" s="85" cm="1">
        <f t="array" ref="V329">IF(
3=0,
  "",
  _xlfn.IFS(
    U329/3&gt;=0.8, 5,
    U329/3&gt;=0.6, 4,
    U329/3&gt;=0.4, 3,
    U329/3&gt;=0.2, 2,
    U329/3&gt;=0.1, 1,
    TRUE, 0
  )
)</f>
        <v>0</v>
      </c>
      <c r="W329" s="152">
        <f>V329/5*Q329*100</f>
        <v>0</v>
      </c>
      <c r="X329" s="239" t="s">
        <v>435</v>
      </c>
    </row>
    <row r="330" spans="2:24" ht="21" x14ac:dyDescent="0.45">
      <c r="B330" s="230"/>
      <c r="C330" s="70"/>
      <c r="D330" s="70"/>
      <c r="E330" s="215"/>
      <c r="F330" s="24"/>
      <c r="G330" s="58"/>
      <c r="H330" s="208"/>
      <c r="I330" s="30"/>
      <c r="J330" s="149"/>
      <c r="K330" s="175"/>
      <c r="L330" s="210"/>
      <c r="M330" s="64"/>
      <c r="N330" s="64"/>
      <c r="O330" s="98"/>
      <c r="P330" s="199"/>
      <c r="Q330" s="114"/>
      <c r="R330" s="16" t="s">
        <v>413</v>
      </c>
      <c r="S330" s="42">
        <v>1</v>
      </c>
      <c r="T330" s="37" t="b">
        <v>0</v>
      </c>
      <c r="U330" s="91"/>
      <c r="V330" s="91"/>
      <c r="W330" s="158"/>
      <c r="X330" s="240"/>
    </row>
    <row r="331" spans="2:24" ht="21" x14ac:dyDescent="0.45">
      <c r="B331" s="230"/>
      <c r="C331" s="70"/>
      <c r="D331" s="70"/>
      <c r="E331" s="215"/>
      <c r="F331" s="24"/>
      <c r="G331" s="58"/>
      <c r="H331" s="209"/>
      <c r="I331" s="31"/>
      <c r="J331" s="150"/>
      <c r="K331" s="176"/>
      <c r="L331" s="206"/>
      <c r="M331" s="63"/>
      <c r="N331" s="63"/>
      <c r="O331" s="99"/>
      <c r="P331" s="200"/>
      <c r="Q331" s="115"/>
      <c r="R331" s="16" t="s">
        <v>414</v>
      </c>
      <c r="S331" s="42">
        <v>1</v>
      </c>
      <c r="T331" s="37" t="b">
        <v>0</v>
      </c>
      <c r="U331" s="93"/>
      <c r="V331" s="93"/>
      <c r="W331" s="158"/>
      <c r="X331" s="241"/>
    </row>
    <row r="332" spans="2:24" ht="21" x14ac:dyDescent="0.45">
      <c r="B332" s="230"/>
      <c r="C332" s="70"/>
      <c r="D332" s="70"/>
      <c r="E332" s="215"/>
      <c r="F332" s="24"/>
      <c r="G332" s="58"/>
      <c r="H332" s="207" t="s">
        <v>42</v>
      </c>
      <c r="I332" s="29"/>
      <c r="J332" s="148">
        <f>G323*0.341</f>
        <v>5.4628200000000009E-2</v>
      </c>
      <c r="K332" s="174"/>
      <c r="L332" s="205" t="s">
        <v>43</v>
      </c>
      <c r="M332" s="64"/>
      <c r="N332" s="58">
        <f>G323*0.389</f>
        <v>6.2317800000000007E-2</v>
      </c>
      <c r="O332" s="97"/>
      <c r="P332" s="8"/>
      <c r="Q332" s="116"/>
      <c r="R332" s="16" t="s">
        <v>415</v>
      </c>
      <c r="S332" s="42">
        <v>1</v>
      </c>
      <c r="T332" s="37" t="b">
        <v>0</v>
      </c>
      <c r="U332" s="84" cm="1">
        <f t="array" ref="U332">SUMPRODUCT(S332:S339,--T332:T339)</f>
        <v>0</v>
      </c>
      <c r="V332" s="85" cm="1">
        <f t="array" ref="V332">IF(
8=0,
  "",
  _xlfn.IFS(
    U332/8&gt;=0.8, 5,
    U332/8&gt;=0.6, 4,
    U332/8&gt;=0.4, 3,
    U332/8&gt;=0.2, 2,
    U332/8&gt;=0.1, 1,
    TRUE, 0
  )
)</f>
        <v>0</v>
      </c>
      <c r="W332" s="152">
        <f>V332/5*N332*100</f>
        <v>0</v>
      </c>
      <c r="X332" s="239" t="s">
        <v>435</v>
      </c>
    </row>
    <row r="333" spans="2:24" ht="21" x14ac:dyDescent="0.45">
      <c r="B333" s="230"/>
      <c r="C333" s="70"/>
      <c r="D333" s="70"/>
      <c r="E333" s="215"/>
      <c r="F333" s="24"/>
      <c r="G333" s="58"/>
      <c r="H333" s="208"/>
      <c r="I333" s="30"/>
      <c r="J333" s="149"/>
      <c r="K333" s="175"/>
      <c r="L333" s="210"/>
      <c r="M333" s="64"/>
      <c r="N333" s="64"/>
      <c r="O333" s="98"/>
      <c r="P333" s="8"/>
      <c r="Q333" s="116"/>
      <c r="R333" s="16" t="s">
        <v>416</v>
      </c>
      <c r="S333" s="42">
        <v>1</v>
      </c>
      <c r="T333" s="37" t="b">
        <v>0</v>
      </c>
      <c r="U333" s="91"/>
      <c r="V333" s="91"/>
      <c r="W333" s="158"/>
      <c r="X333" s="240"/>
    </row>
    <row r="334" spans="2:24" ht="21" x14ac:dyDescent="0.45">
      <c r="B334" s="230"/>
      <c r="C334" s="70"/>
      <c r="D334" s="70"/>
      <c r="E334" s="215"/>
      <c r="F334" s="24"/>
      <c r="G334" s="58"/>
      <c r="H334" s="208"/>
      <c r="I334" s="30"/>
      <c r="J334" s="149"/>
      <c r="K334" s="175"/>
      <c r="L334" s="210"/>
      <c r="M334" s="64"/>
      <c r="N334" s="64"/>
      <c r="O334" s="98"/>
      <c r="P334" s="8"/>
      <c r="Q334" s="116"/>
      <c r="R334" s="16" t="s">
        <v>417</v>
      </c>
      <c r="S334" s="42">
        <v>1</v>
      </c>
      <c r="T334" s="37" t="b">
        <v>0</v>
      </c>
      <c r="U334" s="91"/>
      <c r="V334" s="91"/>
      <c r="W334" s="158"/>
      <c r="X334" s="240"/>
    </row>
    <row r="335" spans="2:24" ht="21" x14ac:dyDescent="0.45">
      <c r="B335" s="230"/>
      <c r="C335" s="70"/>
      <c r="D335" s="70"/>
      <c r="E335" s="215"/>
      <c r="F335" s="24"/>
      <c r="G335" s="58"/>
      <c r="H335" s="208"/>
      <c r="I335" s="30"/>
      <c r="J335" s="149"/>
      <c r="K335" s="175"/>
      <c r="L335" s="210"/>
      <c r="M335" s="64"/>
      <c r="N335" s="64"/>
      <c r="O335" s="98"/>
      <c r="P335" s="8"/>
      <c r="Q335" s="116"/>
      <c r="R335" s="16" t="s">
        <v>418</v>
      </c>
      <c r="S335" s="42">
        <v>1</v>
      </c>
      <c r="T335" s="37" t="b">
        <v>0</v>
      </c>
      <c r="U335" s="91"/>
      <c r="V335" s="91"/>
      <c r="W335" s="158"/>
      <c r="X335" s="240"/>
    </row>
    <row r="336" spans="2:24" ht="21" x14ac:dyDescent="0.45">
      <c r="B336" s="230"/>
      <c r="C336" s="70"/>
      <c r="D336" s="70"/>
      <c r="E336" s="215"/>
      <c r="F336" s="24"/>
      <c r="G336" s="58"/>
      <c r="H336" s="208"/>
      <c r="I336" s="30"/>
      <c r="J336" s="149"/>
      <c r="K336" s="175"/>
      <c r="L336" s="210"/>
      <c r="M336" s="64"/>
      <c r="N336" s="64"/>
      <c r="O336" s="98"/>
      <c r="P336" s="8"/>
      <c r="Q336" s="116"/>
      <c r="R336" s="16" t="s">
        <v>419</v>
      </c>
      <c r="S336" s="42">
        <v>1</v>
      </c>
      <c r="T336" s="37" t="b">
        <v>0</v>
      </c>
      <c r="U336" s="91"/>
      <c r="V336" s="91"/>
      <c r="W336" s="158"/>
      <c r="X336" s="240"/>
    </row>
    <row r="337" spans="2:24" ht="21" x14ac:dyDescent="0.45">
      <c r="B337" s="230"/>
      <c r="C337" s="70"/>
      <c r="D337" s="70"/>
      <c r="E337" s="215"/>
      <c r="F337" s="24"/>
      <c r="G337" s="58"/>
      <c r="H337" s="208"/>
      <c r="I337" s="30"/>
      <c r="J337" s="149"/>
      <c r="K337" s="175"/>
      <c r="L337" s="210"/>
      <c r="M337" s="64"/>
      <c r="N337" s="64"/>
      <c r="O337" s="98"/>
      <c r="P337" s="8"/>
      <c r="Q337" s="116"/>
      <c r="R337" s="16" t="s">
        <v>420</v>
      </c>
      <c r="S337" s="42">
        <v>1</v>
      </c>
      <c r="T337" s="37" t="b">
        <v>0</v>
      </c>
      <c r="U337" s="91"/>
      <c r="V337" s="91"/>
      <c r="W337" s="158"/>
      <c r="X337" s="240"/>
    </row>
    <row r="338" spans="2:24" ht="21" x14ac:dyDescent="0.45">
      <c r="B338" s="230"/>
      <c r="C338" s="70"/>
      <c r="D338" s="70"/>
      <c r="E338" s="215"/>
      <c r="F338" s="24"/>
      <c r="G338" s="58"/>
      <c r="H338" s="208"/>
      <c r="I338" s="30"/>
      <c r="J338" s="149"/>
      <c r="K338" s="175"/>
      <c r="L338" s="210"/>
      <c r="M338" s="64"/>
      <c r="N338" s="64"/>
      <c r="O338" s="98"/>
      <c r="P338" s="8"/>
      <c r="Q338" s="116"/>
      <c r="R338" s="16" t="s">
        <v>421</v>
      </c>
      <c r="S338" s="42">
        <v>1</v>
      </c>
      <c r="T338" s="37" t="b">
        <v>0</v>
      </c>
      <c r="U338" s="91"/>
      <c r="V338" s="91"/>
      <c r="W338" s="158"/>
      <c r="X338" s="240"/>
    </row>
    <row r="339" spans="2:24" ht="21" x14ac:dyDescent="0.45">
      <c r="B339" s="230"/>
      <c r="C339" s="70"/>
      <c r="D339" s="70"/>
      <c r="E339" s="215"/>
      <c r="F339" s="24"/>
      <c r="G339" s="58"/>
      <c r="H339" s="209"/>
      <c r="I339" s="31"/>
      <c r="J339" s="150"/>
      <c r="K339" s="176"/>
      <c r="L339" s="206"/>
      <c r="M339" s="63"/>
      <c r="N339" s="63"/>
      <c r="O339" s="99"/>
      <c r="P339" s="8"/>
      <c r="Q339" s="116"/>
      <c r="R339" s="16" t="s">
        <v>422</v>
      </c>
      <c r="S339" s="42">
        <v>1</v>
      </c>
      <c r="T339" s="37" t="b">
        <v>0</v>
      </c>
      <c r="U339" s="93"/>
      <c r="V339" s="93"/>
      <c r="W339" s="158"/>
      <c r="X339" s="241"/>
    </row>
    <row r="340" spans="2:24" ht="21" x14ac:dyDescent="0.45">
      <c r="B340" s="230"/>
      <c r="C340" s="70"/>
      <c r="D340" s="70"/>
      <c r="E340" s="215"/>
      <c r="F340" s="24"/>
      <c r="G340" s="58"/>
      <c r="H340" s="207" t="s">
        <v>44</v>
      </c>
      <c r="I340" s="29"/>
      <c r="J340" s="148">
        <f>G323*0.333</f>
        <v>5.3346600000000008E-2</v>
      </c>
      <c r="K340" s="174"/>
      <c r="L340" s="205" t="s">
        <v>45</v>
      </c>
      <c r="M340" s="64"/>
      <c r="N340" s="58">
        <f>G323*0.333</f>
        <v>5.3346600000000008E-2</v>
      </c>
      <c r="O340" s="97"/>
      <c r="P340" s="8"/>
      <c r="Q340" s="116"/>
      <c r="R340" s="16" t="s">
        <v>423</v>
      </c>
      <c r="S340" s="42">
        <v>1</v>
      </c>
      <c r="T340" s="37" t="b">
        <v>0</v>
      </c>
      <c r="U340" s="84" cm="1">
        <f t="array" ref="U340">SUMPRODUCT(S340:S349,--T340:T349)</f>
        <v>0</v>
      </c>
      <c r="V340" s="85" cm="1">
        <f t="array" ref="V340">IF(
10=0,
  "",
  _xlfn.IFS(
    U340/10&gt;=0.8, 5,
    U340/10&gt;=0.6, 4,
    U340/10&gt;=0.4, 3,
    U340/10&gt;=0.2, 2,
    U340/10&gt;=0.1, 1,
    TRUE, 0
  )
)</f>
        <v>0</v>
      </c>
      <c r="W340" s="152">
        <f>V340/5*N340*100</f>
        <v>0</v>
      </c>
      <c r="X340" s="239" t="s">
        <v>433</v>
      </c>
    </row>
    <row r="341" spans="2:24" ht="21" x14ac:dyDescent="0.45">
      <c r="B341" s="230"/>
      <c r="C341" s="70"/>
      <c r="D341" s="70"/>
      <c r="E341" s="215"/>
      <c r="F341" s="24"/>
      <c r="G341" s="58"/>
      <c r="H341" s="208"/>
      <c r="I341" s="30"/>
      <c r="J341" s="79"/>
      <c r="K341" s="177"/>
      <c r="L341" s="210"/>
      <c r="M341" s="64"/>
      <c r="N341" s="64"/>
      <c r="O341" s="98"/>
      <c r="P341" s="8"/>
      <c r="Q341" s="116"/>
      <c r="R341" s="16" t="s">
        <v>424</v>
      </c>
      <c r="S341" s="42">
        <v>1</v>
      </c>
      <c r="T341" s="37" t="b">
        <v>0</v>
      </c>
      <c r="U341" s="91"/>
      <c r="V341" s="91"/>
      <c r="W341" s="158"/>
      <c r="X341" s="240"/>
    </row>
    <row r="342" spans="2:24" ht="21" x14ac:dyDescent="0.45">
      <c r="B342" s="230"/>
      <c r="C342" s="70"/>
      <c r="D342" s="70"/>
      <c r="E342" s="215"/>
      <c r="F342" s="24"/>
      <c r="G342" s="58"/>
      <c r="H342" s="208"/>
      <c r="I342" s="30"/>
      <c r="J342" s="79"/>
      <c r="K342" s="177"/>
      <c r="L342" s="210"/>
      <c r="M342" s="64"/>
      <c r="N342" s="64"/>
      <c r="O342" s="98"/>
      <c r="P342" s="8"/>
      <c r="Q342" s="116"/>
      <c r="R342" s="16" t="s">
        <v>425</v>
      </c>
      <c r="S342" s="42">
        <v>1</v>
      </c>
      <c r="T342" s="37" t="b">
        <v>0</v>
      </c>
      <c r="U342" s="91"/>
      <c r="V342" s="91"/>
      <c r="W342" s="158"/>
      <c r="X342" s="240"/>
    </row>
    <row r="343" spans="2:24" ht="21" x14ac:dyDescent="0.45">
      <c r="B343" s="230"/>
      <c r="C343" s="70"/>
      <c r="D343" s="70"/>
      <c r="E343" s="215"/>
      <c r="F343" s="24"/>
      <c r="G343" s="58"/>
      <c r="H343" s="208"/>
      <c r="I343" s="30"/>
      <c r="J343" s="79"/>
      <c r="K343" s="177"/>
      <c r="L343" s="210"/>
      <c r="M343" s="64"/>
      <c r="N343" s="64"/>
      <c r="O343" s="98"/>
      <c r="P343" s="8"/>
      <c r="Q343" s="116"/>
      <c r="R343" s="16" t="s">
        <v>426</v>
      </c>
      <c r="S343" s="42">
        <v>1</v>
      </c>
      <c r="T343" s="37" t="b">
        <v>0</v>
      </c>
      <c r="U343" s="91"/>
      <c r="V343" s="91"/>
      <c r="W343" s="158"/>
      <c r="X343" s="240"/>
    </row>
    <row r="344" spans="2:24" ht="21" x14ac:dyDescent="0.45">
      <c r="B344" s="230"/>
      <c r="C344" s="70"/>
      <c r="D344" s="70"/>
      <c r="E344" s="215"/>
      <c r="F344" s="24"/>
      <c r="G344" s="58"/>
      <c r="H344" s="208"/>
      <c r="I344" s="30"/>
      <c r="J344" s="79"/>
      <c r="K344" s="177"/>
      <c r="L344" s="210"/>
      <c r="M344" s="64"/>
      <c r="N344" s="64"/>
      <c r="O344" s="98"/>
      <c r="P344" s="8"/>
      <c r="Q344" s="116"/>
      <c r="R344" s="16" t="s">
        <v>427</v>
      </c>
      <c r="S344" s="42">
        <v>1</v>
      </c>
      <c r="T344" s="37" t="b">
        <v>0</v>
      </c>
      <c r="U344" s="91"/>
      <c r="V344" s="91"/>
      <c r="W344" s="158"/>
      <c r="X344" s="240"/>
    </row>
    <row r="345" spans="2:24" ht="21" x14ac:dyDescent="0.45">
      <c r="B345" s="230"/>
      <c r="C345" s="70"/>
      <c r="D345" s="70"/>
      <c r="E345" s="215"/>
      <c r="F345" s="24"/>
      <c r="G345" s="58"/>
      <c r="H345" s="208"/>
      <c r="I345" s="30"/>
      <c r="J345" s="79"/>
      <c r="K345" s="177"/>
      <c r="L345" s="210"/>
      <c r="M345" s="64"/>
      <c r="N345" s="64"/>
      <c r="O345" s="98"/>
      <c r="P345" s="8"/>
      <c r="Q345" s="116"/>
      <c r="R345" s="16" t="s">
        <v>428</v>
      </c>
      <c r="S345" s="42">
        <v>1</v>
      </c>
      <c r="T345" s="37" t="b">
        <v>0</v>
      </c>
      <c r="U345" s="91"/>
      <c r="V345" s="91"/>
      <c r="W345" s="158"/>
      <c r="X345" s="240"/>
    </row>
    <row r="346" spans="2:24" ht="21" x14ac:dyDescent="0.45">
      <c r="B346" s="230"/>
      <c r="C346" s="70"/>
      <c r="D346" s="70"/>
      <c r="E346" s="215"/>
      <c r="F346" s="24"/>
      <c r="G346" s="58"/>
      <c r="H346" s="208"/>
      <c r="I346" s="30"/>
      <c r="J346" s="79"/>
      <c r="K346" s="177"/>
      <c r="L346" s="210"/>
      <c r="M346" s="64"/>
      <c r="N346" s="64"/>
      <c r="O346" s="98"/>
      <c r="P346" s="8"/>
      <c r="Q346" s="116"/>
      <c r="R346" s="16" t="s">
        <v>429</v>
      </c>
      <c r="S346" s="42">
        <v>1</v>
      </c>
      <c r="T346" s="37" t="b">
        <v>0</v>
      </c>
      <c r="U346" s="91"/>
      <c r="V346" s="91"/>
      <c r="W346" s="158"/>
      <c r="X346" s="240"/>
    </row>
    <row r="347" spans="2:24" ht="21" x14ac:dyDescent="0.45">
      <c r="B347" s="230"/>
      <c r="C347" s="70"/>
      <c r="D347" s="70"/>
      <c r="E347" s="215"/>
      <c r="F347" s="24"/>
      <c r="G347" s="58"/>
      <c r="H347" s="208"/>
      <c r="I347" s="30"/>
      <c r="J347" s="79"/>
      <c r="K347" s="177"/>
      <c r="L347" s="210"/>
      <c r="M347" s="64"/>
      <c r="N347" s="64"/>
      <c r="O347" s="98"/>
      <c r="P347" s="8"/>
      <c r="Q347" s="116"/>
      <c r="R347" s="16" t="s">
        <v>430</v>
      </c>
      <c r="S347" s="42">
        <v>1</v>
      </c>
      <c r="T347" s="37" t="b">
        <v>0</v>
      </c>
      <c r="U347" s="91"/>
      <c r="V347" s="91"/>
      <c r="W347" s="158"/>
      <c r="X347" s="240"/>
    </row>
    <row r="348" spans="2:24" ht="21" x14ac:dyDescent="0.45">
      <c r="B348" s="230"/>
      <c r="C348" s="70"/>
      <c r="D348" s="70"/>
      <c r="E348" s="215"/>
      <c r="F348" s="24"/>
      <c r="G348" s="58"/>
      <c r="H348" s="208"/>
      <c r="I348" s="30"/>
      <c r="J348" s="79"/>
      <c r="K348" s="177"/>
      <c r="L348" s="210"/>
      <c r="M348" s="64"/>
      <c r="N348" s="64"/>
      <c r="O348" s="98"/>
      <c r="P348" s="8"/>
      <c r="Q348" s="116"/>
      <c r="R348" s="184" t="s">
        <v>479</v>
      </c>
      <c r="S348" s="42">
        <v>1</v>
      </c>
      <c r="T348" s="37" t="b">
        <v>0</v>
      </c>
      <c r="U348" s="91"/>
      <c r="V348" s="91"/>
      <c r="W348" s="158"/>
      <c r="X348" s="240"/>
    </row>
    <row r="349" spans="2:24" ht="21" x14ac:dyDescent="0.45">
      <c r="B349" s="231"/>
      <c r="C349" s="71"/>
      <c r="D349" s="71"/>
      <c r="E349" s="216"/>
      <c r="F349" s="25"/>
      <c r="G349" s="59"/>
      <c r="H349" s="209"/>
      <c r="I349" s="31"/>
      <c r="J349" s="80"/>
      <c r="K349" s="178"/>
      <c r="L349" s="206"/>
      <c r="M349" s="63"/>
      <c r="N349" s="63"/>
      <c r="O349" s="99"/>
      <c r="P349" s="8"/>
      <c r="Q349" s="116"/>
      <c r="R349" s="16" t="s">
        <v>431</v>
      </c>
      <c r="S349" s="42">
        <v>1</v>
      </c>
      <c r="T349" s="37" t="b">
        <v>0</v>
      </c>
      <c r="U349" s="93"/>
      <c r="V349" s="93"/>
      <c r="W349" s="158"/>
      <c r="X349" s="241"/>
    </row>
    <row r="350" spans="2:24" x14ac:dyDescent="0.45">
      <c r="G350" s="151"/>
      <c r="L350" s="14"/>
      <c r="M350" s="14"/>
      <c r="N350" s="14"/>
      <c r="O350" s="103"/>
      <c r="P350" s="14"/>
      <c r="Q350" s="14"/>
      <c r="R350" s="32"/>
    </row>
    <row r="351" spans="2:24" x14ac:dyDescent="0.45">
      <c r="R351" s="33"/>
    </row>
    <row r="352" spans="2:24" x14ac:dyDescent="0.45">
      <c r="R352" s="33"/>
    </row>
    <row r="353" spans="18:18" x14ac:dyDescent="0.45">
      <c r="R353" s="34"/>
    </row>
    <row r="354" spans="18:18" x14ac:dyDescent="0.45">
      <c r="R354" s="35"/>
    </row>
  </sheetData>
  <mergeCells count="161">
    <mergeCell ref="X326:X328"/>
    <mergeCell ref="X329:X331"/>
    <mergeCell ref="X332:X339"/>
    <mergeCell ref="X340:X349"/>
    <mergeCell ref="X256:X260"/>
    <mergeCell ref="X261:X265"/>
    <mergeCell ref="X266:X270"/>
    <mergeCell ref="X271:X275"/>
    <mergeCell ref="X276:X280"/>
    <mergeCell ref="X281:X284"/>
    <mergeCell ref="X293:X296"/>
    <mergeCell ref="P329:P331"/>
    <mergeCell ref="L323:L331"/>
    <mergeCell ref="L332:L339"/>
    <mergeCell ref="L340:L349"/>
    <mergeCell ref="E183:E322"/>
    <mergeCell ref="E323:E349"/>
    <mergeCell ref="H323:H331"/>
    <mergeCell ref="H332:H339"/>
    <mergeCell ref="H340:H349"/>
    <mergeCell ref="H251:H322"/>
    <mergeCell ref="P313:P317"/>
    <mergeCell ref="P318:P322"/>
    <mergeCell ref="L281:L322"/>
    <mergeCell ref="P323:P325"/>
    <mergeCell ref="P326:P328"/>
    <mergeCell ref="P293:P296"/>
    <mergeCell ref="P297:P300"/>
    <mergeCell ref="P301:P304"/>
    <mergeCell ref="P305:P308"/>
    <mergeCell ref="P309:P312"/>
    <mergeCell ref="P276:P280"/>
    <mergeCell ref="L251:L280"/>
    <mergeCell ref="P281:P284"/>
    <mergeCell ref="P285:P288"/>
    <mergeCell ref="X238:X241"/>
    <mergeCell ref="X242:X245"/>
    <mergeCell ref="X212:X216"/>
    <mergeCell ref="L217:L237"/>
    <mergeCell ref="L238:L245"/>
    <mergeCell ref="P217:P225"/>
    <mergeCell ref="P226:P231"/>
    <mergeCell ref="O212:O216"/>
    <mergeCell ref="N282:N322"/>
    <mergeCell ref="N193:N216"/>
    <mergeCell ref="O313:O322"/>
    <mergeCell ref="P271:P275"/>
    <mergeCell ref="X207:X211"/>
    <mergeCell ref="X202:X206"/>
    <mergeCell ref="X197:X201"/>
    <mergeCell ref="X192:X196"/>
    <mergeCell ref="Q257:Q280"/>
    <mergeCell ref="L246:L250"/>
    <mergeCell ref="X246:X250"/>
    <mergeCell ref="P238:P241"/>
    <mergeCell ref="P242:P245"/>
    <mergeCell ref="X217:X225"/>
    <mergeCell ref="X226:X231"/>
    <mergeCell ref="X232:X237"/>
    <mergeCell ref="X160:X175"/>
    <mergeCell ref="P180:P182"/>
    <mergeCell ref="P176:P179"/>
    <mergeCell ref="P44:P48"/>
    <mergeCell ref="P49:P53"/>
    <mergeCell ref="P74:P77"/>
    <mergeCell ref="P109:P116"/>
    <mergeCell ref="P117:P122"/>
    <mergeCell ref="P85:P87"/>
    <mergeCell ref="P123:P128"/>
    <mergeCell ref="P129:P134"/>
    <mergeCell ref="P135:P139"/>
    <mergeCell ref="P78:P80"/>
    <mergeCell ref="X154:X159"/>
    <mergeCell ref="X106:X108"/>
    <mergeCell ref="X109:X116"/>
    <mergeCell ref="X117:X122"/>
    <mergeCell ref="X123:X128"/>
    <mergeCell ref="X129:X134"/>
    <mergeCell ref="P81:P84"/>
    <mergeCell ref="P92:P101"/>
    <mergeCell ref="P102:P105"/>
    <mergeCell ref="B8:B21"/>
    <mergeCell ref="B92:B349"/>
    <mergeCell ref="E8:E11"/>
    <mergeCell ref="E12:E13"/>
    <mergeCell ref="E14:E17"/>
    <mergeCell ref="E18:E21"/>
    <mergeCell ref="H183:H250"/>
    <mergeCell ref="L8:L9"/>
    <mergeCell ref="L10:L11"/>
    <mergeCell ref="L12:L13"/>
    <mergeCell ref="L14:L15"/>
    <mergeCell ref="L16:L17"/>
    <mergeCell ref="L74:L80"/>
    <mergeCell ref="L20:L21"/>
    <mergeCell ref="B22:B91"/>
    <mergeCell ref="E22:E59"/>
    <mergeCell ref="E60:E73"/>
    <mergeCell ref="E74:E91"/>
    <mergeCell ref="L22:L27"/>
    <mergeCell ref="L28:L33"/>
    <mergeCell ref="E92:E182"/>
    <mergeCell ref="L192:L216"/>
    <mergeCell ref="L183:L187"/>
    <mergeCell ref="H44:H59"/>
    <mergeCell ref="P232:P237"/>
    <mergeCell ref="P289:P292"/>
    <mergeCell ref="P251:P255"/>
    <mergeCell ref="P256:P260"/>
    <mergeCell ref="P261:P265"/>
    <mergeCell ref="P266:P270"/>
    <mergeCell ref="L188:L191"/>
    <mergeCell ref="P160:P165"/>
    <mergeCell ref="P166:P168"/>
    <mergeCell ref="P169:P175"/>
    <mergeCell ref="L18:L19"/>
    <mergeCell ref="H160:H182"/>
    <mergeCell ref="L81:L87"/>
    <mergeCell ref="L88:L91"/>
    <mergeCell ref="H92:H122"/>
    <mergeCell ref="L92:L105"/>
    <mergeCell ref="L106:L108"/>
    <mergeCell ref="L109:L122"/>
    <mergeCell ref="L123:L134"/>
    <mergeCell ref="L135:L153"/>
    <mergeCell ref="L154:L159"/>
    <mergeCell ref="L160:L175"/>
    <mergeCell ref="L176:L182"/>
    <mergeCell ref="L34:L38"/>
    <mergeCell ref="L39:L43"/>
    <mergeCell ref="L44:L53"/>
    <mergeCell ref="L54:L59"/>
    <mergeCell ref="H22:H43"/>
    <mergeCell ref="K22:K33"/>
    <mergeCell ref="K44:K59"/>
    <mergeCell ref="H123:H159"/>
    <mergeCell ref="L60:L65"/>
    <mergeCell ref="L66:L73"/>
    <mergeCell ref="O297:O304"/>
    <mergeCell ref="O305:O312"/>
    <mergeCell ref="O256:O260"/>
    <mergeCell ref="O261:O265"/>
    <mergeCell ref="O266:O270"/>
    <mergeCell ref="O271:O275"/>
    <mergeCell ref="O276:O280"/>
    <mergeCell ref="O192:O196"/>
    <mergeCell ref="O197:O201"/>
    <mergeCell ref="O202:O206"/>
    <mergeCell ref="O207:O211"/>
    <mergeCell ref="O281:O288"/>
    <mergeCell ref="O289:O296"/>
    <mergeCell ref="U8:U9"/>
    <mergeCell ref="U10:U11"/>
    <mergeCell ref="U12:U13"/>
    <mergeCell ref="U14:U15"/>
    <mergeCell ref="U16:U17"/>
    <mergeCell ref="U18:U19"/>
    <mergeCell ref="U20:U21"/>
    <mergeCell ref="P140:P143"/>
    <mergeCell ref="P144:P153"/>
    <mergeCell ref="Q136:Q143"/>
  </mergeCells>
  <phoneticPr fontId="2" type="noConversion"/>
  <pageMargins left="0.7" right="0.7" top="0.75" bottom="0.75" header="0.3" footer="0.3"/>
  <pageSetup paperSize="9" orientation="portrait" r:id="rId1"/>
  <ignoredErrors>
    <ignoredError sqref="U22 U28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평가표(양식)_Final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홍세림</dc:creator>
  <cp:lastModifiedBy>형근 박</cp:lastModifiedBy>
  <dcterms:created xsi:type="dcterms:W3CDTF">2025-11-10T06:27:28Z</dcterms:created>
  <dcterms:modified xsi:type="dcterms:W3CDTF">2025-12-09T03:29:38Z</dcterms:modified>
</cp:coreProperties>
</file>