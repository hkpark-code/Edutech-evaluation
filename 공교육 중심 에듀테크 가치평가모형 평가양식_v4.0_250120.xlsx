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ht\Desktop\"/>
    </mc:Choice>
  </mc:AlternateContent>
  <xr:revisionPtr revIDLastSave="0" documentId="13_ncr:1_{1836C16B-554D-4A2A-857F-31BABC20DF4E}" xr6:coauthVersionLast="47" xr6:coauthVersionMax="47" xr10:uidLastSave="{00000000-0000-0000-0000-000000000000}"/>
  <bookViews>
    <workbookView xWindow="-108" yWindow="-108" windowWidth="23256" windowHeight="12456" xr2:uid="{551079ED-F9C5-4BB9-A45D-45A81F5F8E82}"/>
  </bookViews>
  <sheets>
    <sheet name="평가표(양식)_v4" sheetId="8" r:id="rId1"/>
    <sheet name="평가등급체계" sheetId="6" r:id="rId2"/>
  </sheets>
  <definedNames>
    <definedName name="_xlnm._FilterDatabase" localSheetId="0" hidden="1">'평가표(양식)_v4'!$B$7:$W$331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4" i="8" l="1"/>
  <c r="P288" i="8"/>
  <c r="P292" i="8"/>
  <c r="P296" i="8"/>
  <c r="P300" i="8"/>
  <c r="P304" i="8"/>
  <c r="P308" i="8"/>
  <c r="P312" i="8"/>
  <c r="P317" i="8"/>
  <c r="N54" i="8" a="1"/>
  <c r="N54" i="8" s="1"/>
  <c r="M44" i="8" s="1"/>
  <c r="K22" i="8"/>
  <c r="M54" i="8"/>
  <c r="T339" i="8" a="1"/>
  <c r="T339" i="8" s="1"/>
  <c r="U339" i="8" s="1" a="1"/>
  <c r="U339" i="8" s="1"/>
  <c r="T331" i="8" a="1"/>
  <c r="T331" i="8" s="1"/>
  <c r="U331" i="8" s="1" a="1"/>
  <c r="U331" i="8" s="1"/>
  <c r="T328" i="8" a="1"/>
  <c r="T328" i="8" s="1"/>
  <c r="U328" i="8" s="1" a="1"/>
  <c r="U328" i="8" s="1"/>
  <c r="T325" i="8" a="1"/>
  <c r="T325" i="8" s="1"/>
  <c r="U325" i="8" s="1" a="1"/>
  <c r="U325" i="8" s="1"/>
  <c r="T322" i="8" a="1"/>
  <c r="T322" i="8" s="1"/>
  <c r="F322" i="8"/>
  <c r="K322" i="8" s="1"/>
  <c r="T317" i="8" a="1"/>
  <c r="T317" i="8" s="1"/>
  <c r="T312" i="8" a="1"/>
  <c r="T312" i="8" s="1"/>
  <c r="T308" i="8" a="1"/>
  <c r="T308" i="8" s="1"/>
  <c r="T304" i="8" a="1"/>
  <c r="T304" i="8" s="1"/>
  <c r="T300" i="8" a="1"/>
  <c r="T300" i="8" s="1"/>
  <c r="T296" i="8" a="1"/>
  <c r="T296" i="8" s="1"/>
  <c r="T292" i="8" a="1"/>
  <c r="T292" i="8" s="1"/>
  <c r="U292" i="8" s="1" a="1"/>
  <c r="U292" i="8" s="1"/>
  <c r="T288" i="8" a="1"/>
  <c r="T288" i="8" s="1"/>
  <c r="T284" i="8" a="1"/>
  <c r="T284" i="8" s="1"/>
  <c r="T280" i="8" a="1"/>
  <c r="T280" i="8" s="1"/>
  <c r="U280" i="8" s="1" a="1"/>
  <c r="U280" i="8" s="1"/>
  <c r="T275" i="8" a="1"/>
  <c r="T275" i="8" s="1"/>
  <c r="U275" i="8" s="1" a="1"/>
  <c r="U275" i="8" s="1"/>
  <c r="T270" i="8" a="1"/>
  <c r="T270" i="8" s="1"/>
  <c r="U270" i="8" s="1" a="1"/>
  <c r="U270" i="8" s="1"/>
  <c r="T265" i="8" a="1"/>
  <c r="T265" i="8" s="1"/>
  <c r="U265" i="8" s="1" a="1"/>
  <c r="U265" i="8" s="1"/>
  <c r="T260" i="8" a="1"/>
  <c r="T260" i="8" s="1"/>
  <c r="U260" i="8" s="1" a="1"/>
  <c r="U260" i="8" s="1"/>
  <c r="T255" i="8" a="1"/>
  <c r="T255" i="8" s="1"/>
  <c r="U255" i="8" s="1" a="1"/>
  <c r="U255" i="8" s="1"/>
  <c r="T250" i="8" a="1"/>
  <c r="T250" i="8" s="1"/>
  <c r="T245" i="8" a="1"/>
  <c r="T245" i="8" s="1"/>
  <c r="U245" i="8" s="1" a="1"/>
  <c r="U245" i="8" s="1"/>
  <c r="T241" i="8" a="1"/>
  <c r="T241" i="8" s="1"/>
  <c r="U241" i="8" s="1" a="1"/>
  <c r="U241" i="8" s="1"/>
  <c r="T237" i="8" a="1"/>
  <c r="T237" i="8" s="1"/>
  <c r="U237" i="8" s="1" a="1"/>
  <c r="U237" i="8" s="1"/>
  <c r="T231" i="8" a="1"/>
  <c r="T231" i="8" s="1"/>
  <c r="U231" i="8" s="1" a="1"/>
  <c r="U231" i="8" s="1"/>
  <c r="T225" i="8" a="1"/>
  <c r="T225" i="8" s="1"/>
  <c r="U225" i="8" s="1" a="1"/>
  <c r="U225" i="8" s="1"/>
  <c r="T219" i="8" a="1"/>
  <c r="T219" i="8" s="1"/>
  <c r="U219" i="8" s="1" a="1"/>
  <c r="U219" i="8" s="1"/>
  <c r="T214" i="8" a="1"/>
  <c r="T214" i="8" s="1"/>
  <c r="U214" i="8" s="1" a="1"/>
  <c r="U214" i="8" s="1"/>
  <c r="T209" i="8" a="1"/>
  <c r="T209" i="8" s="1"/>
  <c r="U209" i="8" s="1" a="1"/>
  <c r="U209" i="8" s="1"/>
  <c r="T204" i="8" a="1"/>
  <c r="T204" i="8" s="1"/>
  <c r="U204" i="8" s="1" a="1"/>
  <c r="U204" i="8" s="1"/>
  <c r="T199" i="8" a="1"/>
  <c r="T199" i="8" s="1"/>
  <c r="U199" i="8" s="1" a="1"/>
  <c r="U199" i="8" s="1"/>
  <c r="T194" i="8" a="1"/>
  <c r="T194" i="8" s="1"/>
  <c r="U194" i="8" s="1" a="1"/>
  <c r="U194" i="8" s="1"/>
  <c r="T190" i="8" a="1"/>
  <c r="T190" i="8" s="1"/>
  <c r="T185" i="8" a="1"/>
  <c r="T185" i="8" s="1"/>
  <c r="F185" i="8"/>
  <c r="H185" i="8" s="1"/>
  <c r="K185" i="8" s="1"/>
  <c r="T182" i="8" a="1"/>
  <c r="T182" i="8" s="1"/>
  <c r="T178" i="8" a="1"/>
  <c r="T178" i="8" s="1"/>
  <c r="T171" i="8" a="1"/>
  <c r="T171" i="8" s="1"/>
  <c r="U171" i="8" s="1" a="1"/>
  <c r="U171" i="8" s="1"/>
  <c r="T168" i="8" a="1"/>
  <c r="T168" i="8" s="1"/>
  <c r="U168" i="8" s="1" a="1"/>
  <c r="U168" i="8" s="1"/>
  <c r="T162" i="8" a="1"/>
  <c r="T162" i="8" s="1"/>
  <c r="U162" i="8" s="1" a="1"/>
  <c r="U162" i="8" s="1"/>
  <c r="T156" i="8" a="1"/>
  <c r="T156" i="8" s="1"/>
  <c r="U156" i="8" s="1" a="1"/>
  <c r="U156" i="8" s="1"/>
  <c r="T146" i="8" a="1"/>
  <c r="T146" i="8" s="1"/>
  <c r="T142" i="8" a="1"/>
  <c r="T142" i="8" s="1"/>
  <c r="T137" i="8" a="1"/>
  <c r="T137" i="8" s="1"/>
  <c r="T131" i="8" a="1"/>
  <c r="T131" i="8" s="1"/>
  <c r="U131" i="8" s="1" a="1"/>
  <c r="U131" i="8" s="1"/>
  <c r="T127" i="8" a="1"/>
  <c r="T127" i="8" s="1"/>
  <c r="U127" i="8" s="1" a="1"/>
  <c r="U127" i="8" s="1"/>
  <c r="T121" i="8" a="1"/>
  <c r="T121" i="8" s="1"/>
  <c r="U121" i="8" s="1" a="1"/>
  <c r="U121" i="8" s="1"/>
  <c r="T112" i="8" a="1"/>
  <c r="T112" i="8" s="1"/>
  <c r="U112" i="8" s="1" a="1"/>
  <c r="U112" i="8" s="1"/>
  <c r="T106" i="8" a="1"/>
  <c r="T106" i="8" s="1"/>
  <c r="U106" i="8" s="1" a="1"/>
  <c r="U106" i="8" s="1"/>
  <c r="T102" i="8" a="1"/>
  <c r="T102" i="8" s="1"/>
  <c r="T92" i="8" a="1"/>
  <c r="T92" i="8" s="1"/>
  <c r="F92" i="8"/>
  <c r="H127" i="8" s="1"/>
  <c r="T88" i="8" a="1"/>
  <c r="T88" i="8" s="1"/>
  <c r="T85" i="8" a="1"/>
  <c r="T85" i="8" s="1"/>
  <c r="T81" i="8" a="1"/>
  <c r="T81" i="8" s="1"/>
  <c r="T78" i="8" a="1"/>
  <c r="T78" i="8" s="1"/>
  <c r="T74" i="8" a="1"/>
  <c r="T74" i="8" s="1"/>
  <c r="T66" i="8" a="1"/>
  <c r="T66" i="8" s="1"/>
  <c r="T60" i="8" a="1"/>
  <c r="T60" i="8" s="1"/>
  <c r="T54" i="8" a="1"/>
  <c r="T54" i="8" s="1"/>
  <c r="T49" i="8" a="1"/>
  <c r="T49" i="8" s="1"/>
  <c r="T44" i="8" a="1"/>
  <c r="T44" i="8" s="1"/>
  <c r="T39" i="8" a="1"/>
  <c r="T39" i="8" s="1"/>
  <c r="T34" i="8" a="1"/>
  <c r="T34" i="8" s="1"/>
  <c r="T28" i="8" a="1"/>
  <c r="T28" i="8" s="1"/>
  <c r="T22" i="8" a="1"/>
  <c r="T22" i="8" s="1"/>
  <c r="D22" i="8"/>
  <c r="F22" i="8" s="1"/>
  <c r="T20" i="8"/>
  <c r="C2" i="8" s="1"/>
  <c r="T18" i="8"/>
  <c r="T16" i="8"/>
  <c r="T14" i="8"/>
  <c r="T12" i="8"/>
  <c r="T10" i="8"/>
  <c r="T8" i="8"/>
  <c r="V54" i="8" l="1"/>
  <c r="V22" i="8"/>
  <c r="P44" i="8"/>
  <c r="V44" i="8" s="1"/>
  <c r="P49" i="8"/>
  <c r="M28" i="8"/>
  <c r="V28" i="8" s="1"/>
  <c r="M39" i="8"/>
  <c r="V39" i="8" s="1"/>
  <c r="M34" i="8"/>
  <c r="V34" i="8" s="1"/>
  <c r="M22" i="8"/>
  <c r="H250" i="8"/>
  <c r="K280" i="8" s="1"/>
  <c r="V292" i="8" s="1"/>
  <c r="V185" i="8"/>
  <c r="P328" i="8"/>
  <c r="V328" i="8" s="1"/>
  <c r="P322" i="8"/>
  <c r="V322" i="8" s="1"/>
  <c r="P325" i="8"/>
  <c r="K34" i="8"/>
  <c r="K28" i="8"/>
  <c r="K54" i="8"/>
  <c r="K44" i="8"/>
  <c r="K39" i="8"/>
  <c r="K127" i="8"/>
  <c r="K156" i="8"/>
  <c r="V156" i="8" s="1"/>
  <c r="K137" i="8"/>
  <c r="V325" i="8"/>
  <c r="V331" i="8"/>
  <c r="K237" i="8"/>
  <c r="K339" i="8"/>
  <c r="V339" i="8" s="1"/>
  <c r="K245" i="8"/>
  <c r="V245" i="8" s="1"/>
  <c r="H162" i="8"/>
  <c r="K331" i="8"/>
  <c r="F74" i="8"/>
  <c r="K190" i="8"/>
  <c r="V190" i="8" s="1"/>
  <c r="K219" i="8"/>
  <c r="F60" i="8"/>
  <c r="H92" i="8"/>
  <c r="K194" i="8"/>
  <c r="V204" i="8" s="1"/>
  <c r="AA197" i="8" s="1"/>
  <c r="V296" i="8" l="1"/>
  <c r="V300" i="8"/>
  <c r="V284" i="8"/>
  <c r="V304" i="8"/>
  <c r="V317" i="8"/>
  <c r="V209" i="8"/>
  <c r="AA198" i="8" s="1"/>
  <c r="K250" i="8"/>
  <c r="P250" i="8" s="1"/>
  <c r="V250" i="8" s="1"/>
  <c r="V308" i="8"/>
  <c r="V199" i="8"/>
  <c r="AA196" i="8" s="1"/>
  <c r="P280" i="8"/>
  <c r="V280" i="8" s="1"/>
  <c r="V312" i="8"/>
  <c r="AA285" i="8" s="1"/>
  <c r="V194" i="8"/>
  <c r="AA195" i="8" s="1"/>
  <c r="AA200" i="8" s="1"/>
  <c r="V214" i="8"/>
  <c r="AA199" i="8" s="1"/>
  <c r="V288" i="8"/>
  <c r="AA282" i="8" s="1"/>
  <c r="H4" i="8"/>
  <c r="P231" i="8"/>
  <c r="V231" i="8" s="1"/>
  <c r="P219" i="8"/>
  <c r="V219" i="8" s="1"/>
  <c r="P225" i="8"/>
  <c r="V225" i="8" s="1"/>
  <c r="P137" i="8"/>
  <c r="P146" i="8"/>
  <c r="V146" i="8" s="1"/>
  <c r="K162" i="8"/>
  <c r="K178" i="8"/>
  <c r="K60" i="8"/>
  <c r="V60" i="8" s="1"/>
  <c r="K66" i="8"/>
  <c r="V66" i="8" s="1"/>
  <c r="K88" i="8"/>
  <c r="V88" i="8" s="1"/>
  <c r="K81" i="8"/>
  <c r="K74" i="8"/>
  <c r="P127" i="8"/>
  <c r="V127" i="8" s="1"/>
  <c r="P131" i="8"/>
  <c r="V131" i="8" s="1"/>
  <c r="V49" i="8"/>
  <c r="P237" i="8"/>
  <c r="V237" i="8" s="1"/>
  <c r="P241" i="8"/>
  <c r="V241" i="8" s="1"/>
  <c r="K112" i="8"/>
  <c r="K92" i="8"/>
  <c r="K106" i="8"/>
  <c r="V106" i="8" s="1"/>
  <c r="AA281" i="8" l="1"/>
  <c r="AA286" i="8" s="1"/>
  <c r="F2" i="8"/>
  <c r="AA284" i="8"/>
  <c r="AA283" i="8"/>
  <c r="P255" i="8"/>
  <c r="V255" i="8" s="1"/>
  <c r="AA256" i="8" s="1"/>
  <c r="F3" i="8"/>
  <c r="P182" i="8"/>
  <c r="V182" i="8" s="1"/>
  <c r="P178" i="8"/>
  <c r="V178" i="8" s="1"/>
  <c r="P168" i="8"/>
  <c r="V168" i="8" s="1"/>
  <c r="P171" i="8"/>
  <c r="V171" i="8" s="1"/>
  <c r="P162" i="8"/>
  <c r="V162" i="8" s="1"/>
  <c r="V137" i="8"/>
  <c r="V142" i="8"/>
  <c r="P102" i="8"/>
  <c r="V102" i="8" s="1"/>
  <c r="P92" i="8"/>
  <c r="V92" i="8" s="1"/>
  <c r="P121" i="8"/>
  <c r="V121" i="8" s="1"/>
  <c r="P112" i="8"/>
  <c r="V112" i="8" s="1"/>
  <c r="P78" i="8"/>
  <c r="V78" i="8" s="1"/>
  <c r="P74" i="8"/>
  <c r="V74" i="8" s="1"/>
  <c r="P81" i="8"/>
  <c r="V81" i="8" s="1"/>
  <c r="P85" i="8"/>
  <c r="V85" i="8" s="1"/>
  <c r="V275" i="8" l="1"/>
  <c r="AA260" i="8" s="1"/>
  <c r="V270" i="8"/>
  <c r="AA259" i="8" s="1"/>
  <c r="V260" i="8"/>
  <c r="AA257" i="8" s="1"/>
  <c r="V265" i="8"/>
  <c r="AA258" i="8" s="1"/>
  <c r="F4" i="8"/>
  <c r="C3" i="8"/>
  <c r="H2" i="8"/>
  <c r="AA261" i="8" l="1"/>
  <c r="H3" i="8" s="1"/>
  <c r="C4" i="8"/>
  <c r="C5" i="8" s="1"/>
  <c r="C6" i="8" s="1" a="1"/>
  <c r="C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 HONG</author>
    <author>tc={4FCF5E08-86CD-47E5-B8F6-843A2594C329}</author>
    <author>tc={0D324BEE-D071-41BA-8C71-E4A42B1C0A58}</author>
  </authors>
  <commentList>
    <comment ref="L7" authorId="0" shapeId="0" xr:uid="{B995A398-A73D-449A-9337-7E687B02A77E}">
      <text>
        <r>
          <rPr>
            <sz val="9"/>
            <color indexed="81"/>
            <rFont val="돋움"/>
            <family val="3"/>
            <charset val="129"/>
          </rPr>
          <t>재무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" authorId="0" shapeId="0" xr:uid="{2432697B-DC31-4E6B-840A-43A2DEACA326}">
      <text>
        <r>
          <rPr>
            <sz val="9"/>
            <color indexed="81"/>
            <rFont val="돋움"/>
            <family val="3"/>
            <charset val="129"/>
          </rPr>
          <t>재무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4" authorId="0" shapeId="0" xr:uid="{C92BA454-E123-492E-940E-EB02622C0327}">
      <text>
        <r>
          <rPr>
            <sz val="9"/>
            <color indexed="81"/>
            <rFont val="돋움"/>
            <family val="3"/>
            <charset val="129"/>
          </rPr>
          <t>재무안전성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지표가중치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O137" authorId="1" shapeId="0" xr:uid="{4FCF5E08-86CD-47E5-B8F6-843A2594C3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최근 3년간</t>
      </text>
    </comment>
    <comment ref="O178" authorId="2" shapeId="0" xr:uid="{0D324BEE-D071-41BA-8C71-E4A42B1C0A5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교원 자격증, 교육학 전공자, 교육 경력 보유 인력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<sst xmlns="http://schemas.openxmlformats.org/spreadsheetml/2006/main" count="571" uniqueCount="500">
  <si>
    <t>대분류</t>
    <phoneticPr fontId="4" type="noConversion"/>
  </si>
  <si>
    <t>중분류</t>
    <phoneticPr fontId="4" type="noConversion"/>
  </si>
  <si>
    <t>소분류</t>
    <phoneticPr fontId="4" type="noConversion"/>
  </si>
  <si>
    <t>배점</t>
    <phoneticPr fontId="4" type="noConversion"/>
  </si>
  <si>
    <t>사업자 등록</t>
    <phoneticPr fontId="4" type="noConversion"/>
  </si>
  <si>
    <t>개인정보 처리방침</t>
    <phoneticPr fontId="4" type="noConversion"/>
  </si>
  <si>
    <t>기술 안정성</t>
    <phoneticPr fontId="4" type="noConversion"/>
  </si>
  <si>
    <t>서비스 가용률</t>
    <phoneticPr fontId="4" type="noConversion"/>
  </si>
  <si>
    <t>정보보호 인증</t>
    <phoneticPr fontId="4" type="noConversion"/>
  </si>
  <si>
    <t>교육 윤리 준수</t>
    <phoneticPr fontId="4" type="noConversion"/>
  </si>
  <si>
    <t>데이터 투명성</t>
    <phoneticPr fontId="4" type="noConversion"/>
  </si>
  <si>
    <t>전자파 적합성</t>
    <phoneticPr fontId="4" type="noConversion"/>
  </si>
  <si>
    <t>이자보상비율</t>
    <phoneticPr fontId="4" type="noConversion"/>
  </si>
  <si>
    <t>부채비율</t>
    <phoneticPr fontId="4" type="noConversion"/>
  </si>
  <si>
    <t>유동비율</t>
    <phoneticPr fontId="4" type="noConversion"/>
  </si>
  <si>
    <t>투자 금액 규모</t>
    <phoneticPr fontId="4" type="noConversion"/>
  </si>
  <si>
    <t>투자 기관 신뢰성</t>
    <phoneticPr fontId="4" type="noConversion"/>
  </si>
  <si>
    <t>영업 이익률</t>
    <phoneticPr fontId="4" type="noConversion"/>
  </si>
  <si>
    <t>고객 유지율</t>
    <phoneticPr fontId="4" type="noConversion"/>
  </si>
  <si>
    <t>매출액 성장률</t>
    <phoneticPr fontId="4" type="noConversion"/>
  </si>
  <si>
    <t>품질 관리 역량</t>
    <phoneticPr fontId="4" type="noConversion"/>
  </si>
  <si>
    <t>장애 복구 역량</t>
    <phoneticPr fontId="4" type="noConversion"/>
  </si>
  <si>
    <t>학습 성과 향상</t>
    <phoneticPr fontId="4" type="noConversion"/>
  </si>
  <si>
    <t>학습자 주도성 지원</t>
    <phoneticPr fontId="4" type="noConversion"/>
  </si>
  <si>
    <t>교육 운영 효율성</t>
    <phoneticPr fontId="4" type="noConversion"/>
  </si>
  <si>
    <t>교육과정 및 정책 부합도</t>
    <phoneticPr fontId="4" type="noConversion"/>
  </si>
  <si>
    <t xml:space="preserve">교육 형평성 및 포용성 </t>
    <phoneticPr fontId="4" type="noConversion"/>
  </si>
  <si>
    <t xml:space="preserve">교육 방법론 혁신 </t>
    <phoneticPr fontId="4" type="noConversion"/>
  </si>
  <si>
    <t>교육 전문성</t>
    <phoneticPr fontId="4" type="noConversion"/>
  </si>
  <si>
    <t>R&amp;D 역량</t>
    <phoneticPr fontId="4" type="noConversion"/>
  </si>
  <si>
    <t>기술적 차별성</t>
    <phoneticPr fontId="4" type="noConversion"/>
  </si>
  <si>
    <t>학습데이터 활용</t>
    <phoneticPr fontId="4" type="noConversion"/>
  </si>
  <si>
    <t>학습경험 설계</t>
    <phoneticPr fontId="4" type="noConversion"/>
  </si>
  <si>
    <t>기술 확장성</t>
    <phoneticPr fontId="4" type="noConversion"/>
  </si>
  <si>
    <t xml:space="preserve">해외시장 확장 가능성 </t>
    <phoneticPr fontId="4" type="noConversion"/>
  </si>
  <si>
    <t>핵심 인력 역량</t>
    <phoneticPr fontId="4" type="noConversion"/>
  </si>
  <si>
    <t xml:space="preserve">기술 성과물 </t>
    <phoneticPr fontId="4" type="noConversion"/>
  </si>
  <si>
    <t>사회적 책임</t>
    <phoneticPr fontId="4" type="noConversion"/>
  </si>
  <si>
    <t>디지털 격차 완화</t>
    <phoneticPr fontId="4" type="noConversion"/>
  </si>
  <si>
    <t>윤리 준수</t>
    <phoneticPr fontId="4" type="noConversion"/>
  </si>
  <si>
    <t>데이터 및 AI 윤리 책임</t>
    <phoneticPr fontId="4" type="noConversion"/>
  </si>
  <si>
    <t>협력생태계 구축</t>
    <phoneticPr fontId="4" type="noConversion"/>
  </si>
  <si>
    <t>교육기관 파트너십</t>
    <phoneticPr fontId="4" type="noConversion"/>
  </si>
  <si>
    <t>법규 준수</t>
    <phoneticPr fontId="4" type="noConversion"/>
  </si>
  <si>
    <t>윤리 기준 준수</t>
    <phoneticPr fontId="4" type="noConversion"/>
  </si>
  <si>
    <t xml:space="preserve">유해물질 규제 </t>
    <phoneticPr fontId="4" type="noConversion"/>
  </si>
  <si>
    <t>사업자등록증 유효 및 정상 영업 중인 경우</t>
    <phoneticPr fontId="2" type="noConversion"/>
  </si>
  <si>
    <t>휴업, 말소, 폐업 상태인 경우</t>
    <phoneticPr fontId="2" type="noConversion"/>
  </si>
  <si>
    <t>개인정보 처리방침이 게시되어 있고 최신 내용으로 유지 중일 경우</t>
    <phoneticPr fontId="2" type="noConversion"/>
  </si>
  <si>
    <t>방침 미게시, 법정 항목 누락, 장기 미갱신(2년 이상) 시</t>
    <phoneticPr fontId="2" type="noConversion"/>
  </si>
  <si>
    <t>최근 6개월 간 정상 운영 및 가용률 99% 이상 유지</t>
    <phoneticPr fontId="2" type="noConversion"/>
  </si>
  <si>
    <t>최근 6개월 간 가용률 99% 미만</t>
    <phoneticPr fontId="2" type="noConversion"/>
  </si>
  <si>
    <t>허위·과장 광고나 개인정보 불법 이용 등 윤리 위반 이력 있음</t>
    <phoneticPr fontId="2" type="noConversion"/>
  </si>
  <si>
    <t>허위·과장 광고나 개인정보 불법 이용 등 윤리 위반 이력 없음</t>
    <phoneticPr fontId="2" type="noConversion"/>
  </si>
  <si>
    <t>데이터 처리방침 명확히 공개 및 이용자 열람 가능 시</t>
    <phoneticPr fontId="2" type="noConversion"/>
  </si>
  <si>
    <t>데이터 처리 절차 비공개 또는 불명확 시</t>
    <phoneticPr fontId="2" type="noConversion"/>
  </si>
  <si>
    <t>P</t>
    <phoneticPr fontId="2" type="noConversion"/>
  </si>
  <si>
    <t>F</t>
    <phoneticPr fontId="2" type="noConversion"/>
  </si>
  <si>
    <t>KC 인증 또는 동등 이상 국제 인증(CE,FCC등) 보유 시</t>
    <phoneticPr fontId="2" type="noConversion"/>
  </si>
  <si>
    <t>인증 미보유 또는 불합격 시</t>
    <phoneticPr fontId="2" type="noConversion"/>
  </si>
  <si>
    <t>RoHS, REACH 등 국제 인증서 또는 공인 시험성적서 결과 적합 시</t>
    <phoneticPr fontId="2" type="noConversion"/>
  </si>
  <si>
    <t>인증 미보유 또는 공인 시험 결과 부적합 시</t>
    <phoneticPr fontId="2" type="noConversion"/>
  </si>
  <si>
    <t>영업활동 현금흐름이 총 지출의 300% 이상</t>
    <phoneticPr fontId="2" type="noConversion"/>
  </si>
  <si>
    <t>영업활동 현금흐름이 총 지출의 200% 이상~300% 미만</t>
    <phoneticPr fontId="2" type="noConversion"/>
  </si>
  <si>
    <t>영업활동 현금흐름이 총 지출의 100%이상~200% 미만</t>
    <phoneticPr fontId="2" type="noConversion"/>
  </si>
  <si>
    <t>영업활동 현금흐름이 총 지출의 50% 이상~100% 미만</t>
    <phoneticPr fontId="2" type="noConversion"/>
  </si>
  <si>
    <t>영업활동 현금흐름이 총 지출의 0%이상~50% 미만</t>
    <phoneticPr fontId="2" type="noConversion"/>
  </si>
  <si>
    <t xml:space="preserve">영업활동 현금흐름이 총 지출의 0% 미만 </t>
    <phoneticPr fontId="2" type="noConversion"/>
  </si>
  <si>
    <t>영업이익이 이자비용의 15배 이상</t>
    <phoneticPr fontId="2" type="noConversion"/>
  </si>
  <si>
    <t>영업이익이 이자비용의 8배 이상 ~ 15배 미만</t>
    <phoneticPr fontId="2" type="noConversion"/>
  </si>
  <si>
    <t>영업이익이 이자비용의 4배 이상 ~ 8배 미만</t>
    <phoneticPr fontId="2" type="noConversion"/>
  </si>
  <si>
    <t>영업이익이 이자비용의 2배 이상 ~ 4배 미만</t>
    <phoneticPr fontId="2" type="noConversion"/>
  </si>
  <si>
    <t>영업이익이 이자비용의 1배 이상 ~ 2배 미만</t>
    <phoneticPr fontId="2" type="noConversion"/>
  </si>
  <si>
    <t>영업이익이 이자비용의 1배 미만</t>
    <phoneticPr fontId="2" type="noConversion"/>
  </si>
  <si>
    <t>부채비율이 50% 이하</t>
    <phoneticPr fontId="2" type="noConversion"/>
  </si>
  <si>
    <t>부채비율이 50% 이상~100% 미만</t>
    <phoneticPr fontId="2" type="noConversion"/>
  </si>
  <si>
    <t xml:space="preserve">부채비율이 100% 이상~200% 미만 </t>
    <phoneticPr fontId="2" type="noConversion"/>
  </si>
  <si>
    <t>부채비율이 200% 이상~300% 미만</t>
    <phoneticPr fontId="2" type="noConversion"/>
  </si>
  <si>
    <t>부채비율이 300% 이상</t>
    <phoneticPr fontId="2" type="noConversion"/>
  </si>
  <si>
    <t>유동비율이 300% 이상</t>
    <phoneticPr fontId="2" type="noConversion"/>
  </si>
  <si>
    <t>유동비율이 200% 이상~300% 미만</t>
    <phoneticPr fontId="2" type="noConversion"/>
  </si>
  <si>
    <t>유동비율이 150% 이상~200% 미만</t>
    <phoneticPr fontId="2" type="noConversion"/>
  </si>
  <si>
    <t>유동비율이 100% 이상~ 150% 미만</t>
    <phoneticPr fontId="2" type="noConversion"/>
  </si>
  <si>
    <t>유동비율이 100% 미만</t>
    <phoneticPr fontId="2" type="noConversion"/>
  </si>
  <si>
    <t>외부 투자 유치 실적이 없음</t>
    <phoneticPr fontId="2" type="noConversion"/>
  </si>
  <si>
    <t>정부·공공기관, 모태펀드, TIPS 등 국가인증 VC로부터 투자 유치 </t>
    <phoneticPr fontId="4" type="noConversion"/>
  </si>
  <si>
    <t>등록된 일반 VC·AC 등 전문 투자기관의 투자 유치</t>
    <phoneticPr fontId="2" type="noConversion"/>
  </si>
  <si>
    <t>법인·기관 단위 투자(비등록 기관 포함) 유치</t>
    <phoneticPr fontId="2" type="noConversion"/>
  </si>
  <si>
    <t>개인 투자 또는 출자 확인서 수준의 비공식 투자 유치</t>
    <phoneticPr fontId="2" type="noConversion"/>
  </si>
  <si>
    <t>평가 지표명</t>
    <phoneticPr fontId="4" type="noConversion"/>
  </si>
  <si>
    <t>최근 5년 이내 외부 투자 유치 실적이 없음</t>
    <phoneticPr fontId="2" type="noConversion"/>
  </si>
  <si>
    <t>영업이익률이 18% 이상</t>
    <phoneticPr fontId="4" type="noConversion"/>
  </si>
  <si>
    <t xml:space="preserve">영업이익률이 13% 이상 ~ 18% 미만 </t>
    <phoneticPr fontId="2" type="noConversion"/>
  </si>
  <si>
    <t>영업이익률이 8% 이상 ~ 13% 미만</t>
    <phoneticPr fontId="2" type="noConversion"/>
  </si>
  <si>
    <t xml:space="preserve">영업이익률이 3% 이상 ~ 8% 미만 </t>
    <phoneticPr fontId="2" type="noConversion"/>
  </si>
  <si>
    <t>영업이익률이 0% 이상~ 3% 미만</t>
    <phoneticPr fontId="2" type="noConversion"/>
  </si>
  <si>
    <t>영업이익률이 0% 미만</t>
    <phoneticPr fontId="2" type="noConversion"/>
  </si>
  <si>
    <t>1-1. 재무 안전성</t>
    <phoneticPr fontId="4" type="noConversion"/>
  </si>
  <si>
    <t>최근 연도 기준 고객 유지율 변화지수가 120% 이상</t>
    <phoneticPr fontId="2" type="noConversion"/>
  </si>
  <si>
    <t xml:space="preserve">최근 연도 기준 고객 유지율 변화지수가 110% 이상 ~ 120% 미만 </t>
    <phoneticPr fontId="2" type="noConversion"/>
  </si>
  <si>
    <t>최근 연도 기준 고객 유지율 변화지수가 100% 이상 ~ 110% 미만</t>
    <phoneticPr fontId="2" type="noConversion"/>
  </si>
  <si>
    <t>최근 연도 기준 고객 유지율 변화지수가 90% 이상 ~ 100% 미만</t>
    <phoneticPr fontId="2" type="noConversion"/>
  </si>
  <si>
    <t>최근 연도 기준 고객 유지율 변화지수가 80% 이상~ 90% 미만</t>
    <phoneticPr fontId="2" type="noConversion"/>
  </si>
  <si>
    <t>최근 연도 기준 고객 유지율 변화지수가 80% 미만</t>
    <phoneticPr fontId="2" type="noConversion"/>
  </si>
  <si>
    <t>최근 3년간 연평균 성장률이 100% 이상</t>
    <phoneticPr fontId="2" type="noConversion"/>
  </si>
  <si>
    <t>최근 3년간 연평균 성장률이 50% 이상~100% 미만</t>
    <phoneticPr fontId="2" type="noConversion"/>
  </si>
  <si>
    <t>최근 3년간 연평균 성장률이 30% 이상~50% 미만</t>
    <phoneticPr fontId="2" type="noConversion"/>
  </si>
  <si>
    <t>최근 3년간 연평균 성장률이 15% 이상~30% 미만</t>
    <phoneticPr fontId="2" type="noConversion"/>
  </si>
  <si>
    <t>최근 3년간 연평균 성장률이 10% 이상~15% 미만</t>
    <phoneticPr fontId="2" type="noConversion"/>
  </si>
  <si>
    <t>최근 3년간 연평균 성장률이 5% 이상~10% 미만</t>
    <phoneticPr fontId="2" type="noConversion"/>
  </si>
  <si>
    <t>최근 3년간 연평균 성장률이 0% 이상~5% 미만 수준</t>
    <phoneticPr fontId="2" type="noConversion"/>
  </si>
  <si>
    <t>최근 3년간 연평균 성장률이 0% 미만</t>
    <phoneticPr fontId="2" type="noConversion"/>
  </si>
  <si>
    <t>1-2. 운영 지속성</t>
    <phoneticPr fontId="4" type="noConversion"/>
  </si>
  <si>
    <t>실시간 모니터링 체계를 구축하고 정기 점검 및 개선 시스템 운영</t>
    <phoneticPr fontId="2" type="noConversion"/>
  </si>
  <si>
    <t>정기 점검과 품질조사 실시</t>
    <phoneticPr fontId="2" type="noConversion"/>
  </si>
  <si>
    <t>기본적인 품질 점검은 수행하지만, 정기 점검 체계는 미비</t>
    <phoneticPr fontId="2" type="noConversion"/>
  </si>
  <si>
    <t>체계적인 품질 점검 체계 미비</t>
    <phoneticPr fontId="2" type="noConversion"/>
  </si>
  <si>
    <t>고객센터를 상시 운영하여 피드백을 수집하며, 정기적인 서비스 업데이트 및 개선 체계를 구축하여 운영</t>
    <phoneticPr fontId="2" type="noConversion"/>
  </si>
  <si>
    <t>피드백을 수집하나 정기적 개선, 이력관리는 체계화되어 있지 않음</t>
    <phoneticPr fontId="2" type="noConversion"/>
  </si>
  <si>
    <t>정기적인 피드백 수집이나 개선 절차 미비</t>
    <phoneticPr fontId="2" type="noConversion"/>
  </si>
  <si>
    <t>품질 모니터링 체계</t>
    <phoneticPr fontId="2" type="noConversion"/>
  </si>
  <si>
    <t>개선 프로세스 운영</t>
    <phoneticPr fontId="2" type="noConversion"/>
  </si>
  <si>
    <t>장애 대응 체계</t>
    <phoneticPr fontId="2" type="noConversion"/>
  </si>
  <si>
    <t>사후 관리 체계</t>
    <phoneticPr fontId="2" type="noConversion"/>
  </si>
  <si>
    <t>24시간 대응 체계와 복구 매뉴얼을 갖추고, SLA(서비스 수준 협약) 운영</t>
    <phoneticPr fontId="2" type="noConversion"/>
  </si>
  <si>
    <t>상시 대응팀을 두고, 장애 발생 시 즉시 복구 체계 가동</t>
    <phoneticPr fontId="2" type="noConversion"/>
  </si>
  <si>
    <t>담당자를 지정해 장애 대응은 가능하나, 일부 절차 미비</t>
    <phoneticPr fontId="2" type="noConversion"/>
  </si>
  <si>
    <t>장애 대응 프로세스가 부재하거나 체계적으로 운영되지 않음</t>
    <phoneticPr fontId="2" type="noConversion"/>
  </si>
  <si>
    <t>장애 원인을 분석하고, 재발 방지 대책과 점검 보고서를 정기적으로 작성</t>
    <phoneticPr fontId="2" type="noConversion"/>
  </si>
  <si>
    <t>장애 원인은 기록하나, 개선이나 재발 방지 조치는 부분적으로만 시행</t>
    <phoneticPr fontId="2" type="noConversion"/>
  </si>
  <si>
    <t>사후 분석이나 개선 조치가 거의 이루어지지 않음</t>
    <phoneticPr fontId="2" type="noConversion"/>
  </si>
  <si>
    <t>1-3. 기술 신뢰성</t>
    <phoneticPr fontId="4" type="noConversion"/>
  </si>
  <si>
    <t>사용자 참여도</t>
    <phoneticPr fontId="2" type="noConversion"/>
  </si>
  <si>
    <t>정보보호 인증을 미보유, 내부 보안정책이나 개인정보 보호체계 미비</t>
    <phoneticPr fontId="2" type="noConversion"/>
  </si>
  <si>
    <t>정보보호 인증은 아직 없으나, 내부적으로 정보보호 규정·접근통제·개인정보 관리체계 등 수립·운영</t>
    <phoneticPr fontId="2" type="noConversion"/>
  </si>
  <si>
    <t>학습 성과 개선</t>
    <phoneticPr fontId="2" type="noConversion"/>
  </si>
  <si>
    <t xml:space="preserve">최근 3개월간 참여율이 90% 이상~100% 이하 </t>
    <phoneticPr fontId="2" type="noConversion"/>
  </si>
  <si>
    <t>최근 3개월간 참여율이 80% 이상~90% 미만</t>
    <phoneticPr fontId="2" type="noConversion"/>
  </si>
  <si>
    <t>최근 3개월간 참여율이 70% 이상~80% 미만</t>
    <phoneticPr fontId="2" type="noConversion"/>
  </si>
  <si>
    <t>최근 3개월간 참여율이 60% 이상~70% 미만</t>
    <phoneticPr fontId="2" type="noConversion"/>
  </si>
  <si>
    <t>최근 3개월간 참여율이 50% 이상~60% 미만</t>
    <phoneticPr fontId="2" type="noConversion"/>
  </si>
  <si>
    <t>최근 3개월간 참여율이 40% 이상~50% 미만</t>
    <phoneticPr fontId="2" type="noConversion"/>
  </si>
  <si>
    <t>최근 3개월간 참여율이 30% 이상~40% 미만</t>
    <phoneticPr fontId="2" type="noConversion"/>
  </si>
  <si>
    <t>최근 3개월간 참여율이 20% 이상~30% 미만</t>
    <phoneticPr fontId="2" type="noConversion"/>
  </si>
  <si>
    <t>최근 3개월간 참여율이 10% 이상~20% 미만</t>
    <phoneticPr fontId="2" type="noConversion"/>
  </si>
  <si>
    <t>최근 3개월간 참여율이 10% 미만, 참여율을 측정하거나 관리할 수 있는 데이터가 현재 없음</t>
    <phoneticPr fontId="2" type="noConversion"/>
  </si>
  <si>
    <t>학습 성취도를 정기적으로 수집·분석하고 있으며, 개선 효과가 명확하게 나타나고 있음</t>
    <phoneticPr fontId="2" type="noConversion"/>
  </si>
  <si>
    <t>학습 성취도를 정기적으로 모니터링하고 있으나, 아직 뚜렷한 개선 효과는 확인되지 않음</t>
    <phoneticPr fontId="2" type="noConversion"/>
  </si>
  <si>
    <t>학습 성취도 모니터링 시스템이 있으나, 운영이 원활하지 않아 데이터가 충분히 축적되지 않음 </t>
    <phoneticPr fontId="2" type="noConversion"/>
  </si>
  <si>
    <t>학습 성취도를 측정하거나 관리하는 체계 구축 미비</t>
    <phoneticPr fontId="2" type="noConversion"/>
  </si>
  <si>
    <t>체크리스트</t>
    <phoneticPr fontId="2" type="noConversion"/>
  </si>
  <si>
    <t>교육 효과성</t>
    <phoneticPr fontId="4" type="noConversion"/>
  </si>
  <si>
    <t>2-1. 교육적 가치</t>
    <phoneticPr fontId="4" type="noConversion"/>
  </si>
  <si>
    <t>교사 업무 효율화</t>
    <phoneticPr fontId="2" type="noConversion"/>
  </si>
  <si>
    <t>시스템 편의성</t>
    <phoneticPr fontId="2" type="noConversion"/>
  </si>
  <si>
    <t>국가교육과정 연계성</t>
    <phoneticPr fontId="2" type="noConversion"/>
  </si>
  <si>
    <t>교육정책 부합도</t>
    <phoneticPr fontId="2" type="noConversion"/>
  </si>
  <si>
    <t>도입 기관 수</t>
    <phoneticPr fontId="2" type="noConversion"/>
  </si>
  <si>
    <t>100개 기관 이상</t>
    <phoneticPr fontId="2" type="noConversion"/>
  </si>
  <si>
    <t>50-99개 기관</t>
    <phoneticPr fontId="2" type="noConversion"/>
  </si>
  <si>
    <t>20-49개 기관</t>
    <phoneticPr fontId="2" type="noConversion"/>
  </si>
  <si>
    <t>10-19개 기관</t>
    <phoneticPr fontId="2" type="noConversion"/>
  </si>
  <si>
    <t>1-9개 기관</t>
    <phoneticPr fontId="2" type="noConversion"/>
  </si>
  <si>
    <t>50,000명 이상</t>
    <phoneticPr fontId="2" type="noConversion"/>
  </si>
  <si>
    <t>20,000-49,999명</t>
    <phoneticPr fontId="2" type="noConversion"/>
  </si>
  <si>
    <t>5,000-19,999명</t>
    <phoneticPr fontId="2" type="noConversion"/>
  </si>
  <si>
    <t>1,000-4,999명</t>
    <phoneticPr fontId="2" type="noConversion"/>
  </si>
  <si>
    <t>서비스 지속성</t>
    <phoneticPr fontId="2" type="noConversion"/>
  </si>
  <si>
    <t>공교육 기관과의 재계약율 90% 이상~100% 이하</t>
    <phoneticPr fontId="2" type="noConversion"/>
  </si>
  <si>
    <t>누적 사용자 수</t>
    <phoneticPr fontId="2" type="noConversion"/>
  </si>
  <si>
    <t>공교육 기관과의 재계약율 80% 이상~90% 미만</t>
    <phoneticPr fontId="2" type="noConversion"/>
  </si>
  <si>
    <t>공교육 기관과의 재계약율 50% 이상~60% 미만</t>
    <phoneticPr fontId="2" type="noConversion"/>
  </si>
  <si>
    <t>공교육 기관과의 재계약율 70% 이상~80% 미만</t>
    <phoneticPr fontId="2" type="noConversion"/>
  </si>
  <si>
    <t>공교육 기관과의 재계약율 40% 이상~50% 미만</t>
    <phoneticPr fontId="2" type="noConversion"/>
  </si>
  <si>
    <t>공교육 기관과의 재계약율 30% 이상~40% 미만</t>
    <phoneticPr fontId="2" type="noConversion"/>
  </si>
  <si>
    <t>공교육 기관과의 재계약율 20% 이상~30% 미만</t>
    <phoneticPr fontId="2" type="noConversion"/>
  </si>
  <si>
    <t>공교육 기관과의 재계약율 10% 이상~20% 미만</t>
    <phoneticPr fontId="2" type="noConversion"/>
  </si>
  <si>
    <t>공교육 기관과의 재계약율 10% 미만</t>
    <phoneticPr fontId="2" type="noConversion"/>
  </si>
  <si>
    <t>사용자 안전성
(디바이스형 해당)</t>
    <phoneticPr fontId="4" type="noConversion"/>
  </si>
  <si>
    <t>교육현장 활용도</t>
    <phoneticPr fontId="4" type="noConversion"/>
  </si>
  <si>
    <t>공교육 적합성</t>
    <phoneticPr fontId="4" type="noConversion"/>
  </si>
  <si>
    <t>공교육 기관과의 재계약율 60% 이상~70% 미만</t>
    <phoneticPr fontId="2" type="noConversion"/>
  </si>
  <si>
    <t>교육 전문 인력 비중</t>
    <phoneticPr fontId="2" type="noConversion"/>
  </si>
  <si>
    <t>전체 인력 중 교육 전문가 비율 10~20% 미만</t>
    <phoneticPr fontId="2" type="noConversion"/>
  </si>
  <si>
    <t xml:space="preserve">교육 관련 전문 인력 비율 10% 미만 </t>
    <phoneticPr fontId="2" type="noConversion"/>
  </si>
  <si>
    <t>전체 인력 중 교육 관련 전문 인력 비율 20% 이상</t>
    <phoneticPr fontId="2" type="noConversion"/>
  </si>
  <si>
    <t>교육 전문 인력 보유</t>
    <phoneticPr fontId="2" type="noConversion"/>
  </si>
  <si>
    <t>교육 관련 전문 인력이 확보되어 있음</t>
    <phoneticPr fontId="2" type="noConversion"/>
  </si>
  <si>
    <t>최근 3년간 R&amp;D 투자 비율이 평균 10% 이상</t>
    <phoneticPr fontId="2" type="noConversion"/>
  </si>
  <si>
    <t>최근 3년간 R&amp;D 투자 비율이 평균 7% 이상~10% 미만</t>
    <phoneticPr fontId="2" type="noConversion"/>
  </si>
  <si>
    <t>최근 3년간 R&amp;D 투자 비율이 평균 5% 이상~7% 미만</t>
    <phoneticPr fontId="2" type="noConversion"/>
  </si>
  <si>
    <t xml:space="preserve">최근 3년간 R&amp;D 투자 비율이 평균 3% 이상~5% 미만 </t>
    <phoneticPr fontId="2" type="noConversion"/>
  </si>
  <si>
    <t>최근 3년간 R&amp;D 투자 비율이 평균 3% 미만</t>
    <phoneticPr fontId="2" type="noConversion"/>
  </si>
  <si>
    <t>교육 혁신성</t>
    <phoneticPr fontId="4" type="noConversion"/>
  </si>
  <si>
    <t>독자 기술이나 IP를 보유하지 않으며, 외부 인증이나 기술 검증 실적도 없음</t>
    <phoneticPr fontId="2" type="noConversion"/>
  </si>
  <si>
    <t>외부 솔루션을 일부 활용하거나 일반 기술을 적용하고 있으며, 독자 IP는 없으나 기술 개선 활동을 지속하고 있음</t>
    <phoneticPr fontId="2" type="noConversion"/>
  </si>
  <si>
    <t>학습분석(LA) 대시보드를 통해 학습 현황을 실시간으로 모니터링함</t>
    <phoneticPr fontId="2" type="noConversion"/>
  </si>
  <si>
    <t>교사가 학습자 지원 시 개입 시점을 파악할 수 있도록 액션 인사이트 제공</t>
    <phoneticPr fontId="2" type="noConversion"/>
  </si>
  <si>
    <t>교육기관·정부와 데이터 협력을 통해 공교육 빅데이터 생태계 형성에 기여하고 있음</t>
    <phoneticPr fontId="2" type="noConversion"/>
  </si>
  <si>
    <t>장비 사용 데이터가 중앙 서버 또는 교사용 대시보드로 연동됨</t>
    <phoneticPr fontId="2" type="noConversion"/>
  </si>
  <si>
    <t>콘텐츠 또는 학습 플랫폼과 연동되어 성취도 데이터를 통합 관리함</t>
    <phoneticPr fontId="2" type="noConversion"/>
  </si>
  <si>
    <t>교육기관·정부와 데이터 연계를 통해 공교육 빅데이터 생태계 형성에 기여하고 있음</t>
    <phoneticPr fontId="2" type="noConversion"/>
  </si>
  <si>
    <t>학습데이터 저장·전송 과정에서 암호화 및 보안 프로토콜 적용</t>
    <phoneticPr fontId="2" type="noConversion"/>
  </si>
  <si>
    <t>교육기관·정부와 협력하여 안전하고 신뢰할 수 있는 데이터 유통 체계를 구축하고 있음</t>
    <phoneticPr fontId="2" type="noConversion"/>
  </si>
  <si>
    <t xml:space="preserve">2-2. 기술적 가치 </t>
    <phoneticPr fontId="4" type="noConversion"/>
  </si>
  <si>
    <t>공통 기술 역량</t>
    <phoneticPr fontId="4" type="noConversion"/>
  </si>
  <si>
    <t>평가 척도</t>
    <phoneticPr fontId="2" type="noConversion"/>
  </si>
  <si>
    <t>점수</t>
    <phoneticPr fontId="2" type="noConversion"/>
  </si>
  <si>
    <t>가중 점수</t>
    <phoneticPr fontId="2" type="noConversion"/>
  </si>
  <si>
    <t>사용성</t>
    <phoneticPr fontId="2" type="noConversion"/>
  </si>
  <si>
    <t>접근성</t>
    <phoneticPr fontId="2" type="noConversion"/>
  </si>
  <si>
    <t>몰입형 설계</t>
    <phoneticPr fontId="2" type="noConversion"/>
  </si>
  <si>
    <t>시스템 연계 능력</t>
    <phoneticPr fontId="2" type="noConversion"/>
  </si>
  <si>
    <t>사용자 및 학습 데이터를 표준 포맷(CSV, Excel 등) 으로 내보낼 수 있음</t>
    <phoneticPr fontId="2" type="noConversion"/>
  </si>
  <si>
    <t>데이터 이관 기능</t>
    <phoneticPr fontId="2" type="noConversion"/>
  </si>
  <si>
    <t>해외 파트너십 또는 협력 네트워크(MOU 등) 를 구축함</t>
    <phoneticPr fontId="2" type="noConversion"/>
  </si>
  <si>
    <t>최근 3년간 해외 매출 실적 있음</t>
    <phoneticPr fontId="2" type="noConversion"/>
  </si>
  <si>
    <t>경력 1년 미만 인력 비율 50% 이상 및 외주 의존</t>
    <phoneticPr fontId="2" type="noConversion"/>
  </si>
  <si>
    <t>경력 1년 이상~3년 미만 인력 비율 50% 이상</t>
    <phoneticPr fontId="2" type="noConversion"/>
  </si>
  <si>
    <t>BM 유형별 기본 역량</t>
    <phoneticPr fontId="4" type="noConversion"/>
  </si>
  <si>
    <t>전문 인력 규모</t>
    <phoneticPr fontId="2" type="noConversion"/>
  </si>
  <si>
    <t>핵심 스킬셋 보유(플랫폼형)</t>
    <phoneticPr fontId="2" type="noConversion"/>
  </si>
  <si>
    <t>핵심 스킬셋 보유(콘텐츠형)</t>
    <phoneticPr fontId="2" type="noConversion"/>
  </si>
  <si>
    <t>핵심 스킬셋 보유(디바이스형)</t>
    <phoneticPr fontId="2" type="noConversion"/>
  </si>
  <si>
    <t>핵심 스킬셋 보유(서비스형)</t>
    <phoneticPr fontId="2" type="noConversion"/>
  </si>
  <si>
    <t>핵심 스킬셋 보유(네트워크형)</t>
    <phoneticPr fontId="2" type="noConversion"/>
  </si>
  <si>
    <t>핵심 기능(플랫폼형)</t>
    <phoneticPr fontId="2" type="noConversion"/>
  </si>
  <si>
    <t>시스템 성능(플랫폼형)</t>
    <phoneticPr fontId="2" type="noConversion"/>
  </si>
  <si>
    <t>제작 실적(콘텐츠형)</t>
    <phoneticPr fontId="2" type="noConversion"/>
  </si>
  <si>
    <t>콘텐츠 수준(콘텐츠형)</t>
    <phoneticPr fontId="2" type="noConversion"/>
  </si>
  <si>
    <t>서비스 규모(네트워크형)</t>
    <phoneticPr fontId="2" type="noConversion"/>
  </si>
  <si>
    <t>기술 수준(네트워크형)</t>
    <phoneticPr fontId="2" type="noConversion"/>
  </si>
  <si>
    <t>제품 개발 실적(디바이스형)</t>
    <phoneticPr fontId="2" type="noConversion"/>
  </si>
  <si>
    <t>기술 수준(디바이스형)</t>
    <phoneticPr fontId="2" type="noConversion"/>
  </si>
  <si>
    <t>서비스 운영 실적(서비스형)</t>
    <phoneticPr fontId="2" type="noConversion"/>
  </si>
  <si>
    <t>서비스 범위(서비스형)</t>
    <phoneticPr fontId="2" type="noConversion"/>
  </si>
  <si>
    <t>최근 1년간 신규 콘텐츠 14개 이하 제작</t>
    <phoneticPr fontId="2" type="noConversion"/>
  </si>
  <si>
    <t>최근 1년간 신규 콘텐츠 15개 이상~29개 이하 제작</t>
    <phoneticPr fontId="2" type="noConversion"/>
  </si>
  <si>
    <t>최근 1년간 신규 콘텐츠 30개 이상~49개 이하 제작</t>
    <phoneticPr fontId="2" type="noConversion"/>
  </si>
  <si>
    <t>최근 1년간 신규 콘텐츠 50개 이상 제작</t>
    <phoneticPr fontId="2" type="noConversion"/>
  </si>
  <si>
    <t>독자 기술을 적용하고, 시범학교·실증사업 등에서 검증 받음</t>
    <phoneticPr fontId="2" type="noConversion"/>
  </si>
  <si>
    <t>저사양 기기 지원</t>
    <phoneticPr fontId="2" type="noConversion"/>
  </si>
  <si>
    <t>오프라인 모드 지원</t>
    <phoneticPr fontId="2" type="noConversion"/>
  </si>
  <si>
    <t xml:space="preserve">데이터 절감 기능 </t>
    <phoneticPr fontId="2" type="noConversion"/>
  </si>
  <si>
    <t xml:space="preserve">2-3. 사회적 가치 </t>
    <phoneticPr fontId="4" type="noConversion"/>
  </si>
  <si>
    <t>체크리스트</t>
  </si>
  <si>
    <t>배점</t>
    <phoneticPr fontId="2" type="noConversion"/>
  </si>
  <si>
    <t>자금 조달 능력</t>
    <phoneticPr fontId="2" type="noConversion"/>
  </si>
  <si>
    <t>재무 건전성</t>
    <phoneticPr fontId="2" type="noConversion"/>
  </si>
  <si>
    <t>초기기업 택 1</t>
  </si>
  <si>
    <r>
      <t xml:space="preserve">현금흐름 안전성
</t>
    </r>
    <r>
      <rPr>
        <b/>
        <sz val="12"/>
        <color rgb="FFC00000"/>
        <rFont val="맑은 고딕"/>
        <family val="3"/>
        <charset val="129"/>
        <scheme val="minor"/>
      </rPr>
      <t>(*초기기업만 해당)</t>
    </r>
    <phoneticPr fontId="4" type="noConversion"/>
  </si>
  <si>
    <r>
      <t xml:space="preserve">투자 유치 실적
</t>
    </r>
    <r>
      <rPr>
        <b/>
        <sz val="12"/>
        <color rgb="FFC00000"/>
        <rFont val="맑은 고딕"/>
        <family val="3"/>
        <charset val="129"/>
        <scheme val="minor"/>
      </rPr>
      <t>(성장, 성숙 단계 기업 optional)</t>
    </r>
    <phoneticPr fontId="4" type="noConversion"/>
  </si>
  <si>
    <t>가중치
(지표)</t>
    <phoneticPr fontId="2" type="noConversion"/>
  </si>
  <si>
    <t>BM</t>
    <phoneticPr fontId="2" type="noConversion"/>
  </si>
  <si>
    <t>(택1)</t>
    <phoneticPr fontId="2" type="noConversion"/>
  </si>
  <si>
    <t>초기기업   택 1</t>
    <phoneticPr fontId="2" type="noConversion"/>
  </si>
  <si>
    <t>복수 선택 시,
BM별 매출
/
인력 비중 적용</t>
    <phoneticPr fontId="2" type="noConversion"/>
  </si>
  <si>
    <t>복수 선택 시, 
BM별 매출
/
인력 비중 적용</t>
    <phoneticPr fontId="2" type="noConversion"/>
  </si>
  <si>
    <t>가중치
(중븐류)</t>
    <phoneticPr fontId="2" type="noConversion"/>
  </si>
  <si>
    <t>가중치
(소분류)</t>
    <phoneticPr fontId="2" type="noConversion"/>
  </si>
  <si>
    <t>복수 
선택 시,
BM별 
매출
/
인력 
비중 
적용</t>
    <phoneticPr fontId="2" type="noConversion"/>
  </si>
  <si>
    <t>✓</t>
    <phoneticPr fontId="2" type="noConversion"/>
  </si>
  <si>
    <t xml:space="preserve">하위 지표 </t>
    <phoneticPr fontId="2" type="noConversion"/>
  </si>
  <si>
    <t>기업 역량 평가</t>
    <phoneticPr fontId="2" type="noConversion"/>
  </si>
  <si>
    <t>공교육 특화 가치 평가</t>
    <phoneticPr fontId="2" type="noConversion"/>
  </si>
  <si>
    <t>기본 자격 검증</t>
    <phoneticPr fontId="2" type="noConversion"/>
  </si>
  <si>
    <t>계</t>
    <phoneticPr fontId="2" type="noConversion"/>
  </si>
  <si>
    <t>등급</t>
    <phoneticPr fontId="2" type="noConversion"/>
  </si>
  <si>
    <t>가중치
(대분류)</t>
    <phoneticPr fontId="2" type="noConversion"/>
  </si>
  <si>
    <t>AI 기반 맞춤형 학습</t>
    <phoneticPr fontId="2" type="noConversion"/>
  </si>
  <si>
    <t>혁신적 학습 환경</t>
    <phoneticPr fontId="2" type="noConversion"/>
  </si>
  <si>
    <t>다양한 학습 형태 지원</t>
    <phoneticPr fontId="2" type="noConversion"/>
  </si>
  <si>
    <t xml:space="preserve">최근 5년 이내 누적 투자금이 10억~30억 미만 </t>
    <phoneticPr fontId="2" type="noConversion"/>
  </si>
  <si>
    <t>최근 5년 이내 누적 투자금이 30억~100억 미만</t>
    <phoneticPr fontId="2" type="noConversion"/>
  </si>
  <si>
    <t>최근 5년 이내 누적 투자금이 10억 미만 (Pre-seed~초기 엔젤)</t>
    <phoneticPr fontId="2" type="noConversion"/>
  </si>
  <si>
    <t>최근 5년 이내 누적 투자금이 100억 이상</t>
    <phoneticPr fontId="4" type="noConversion"/>
  </si>
  <si>
    <t>ISMS-P, CSAP 또는 ISO/IEC 27001 인증을 보유하고 있으며, 인증이 유효기간 내이고 현재 제공 중인 서비스 범위 전체에 적용됨</t>
    <phoneticPr fontId="2" type="noConversion"/>
  </si>
  <si>
    <t>ISMS-P, CSAP 또는 ISO/IEC 27001 인증인증 취득 절차를 진행 중이거나, 유효기간이 지나 갱신이 필요하거나, 인증이 일부 서비스에만 적용됨</t>
    <phoneticPr fontId="2" type="noConversion"/>
  </si>
  <si>
    <t>플랫폼</t>
    <phoneticPr fontId="2" type="noConversion"/>
  </si>
  <si>
    <t>콘텐츠</t>
    <phoneticPr fontId="2" type="noConversion"/>
  </si>
  <si>
    <t>디바이스</t>
    <phoneticPr fontId="2" type="noConversion"/>
  </si>
  <si>
    <t>서비스</t>
    <phoneticPr fontId="2" type="noConversion"/>
  </si>
  <si>
    <t>네트워크</t>
    <phoneticPr fontId="2" type="noConversion"/>
  </si>
  <si>
    <t>비중(%)</t>
    <phoneticPr fontId="2" type="noConversion"/>
  </si>
  <si>
    <t>비중 적용 가중점수</t>
    <phoneticPr fontId="2" type="noConversion"/>
  </si>
  <si>
    <t>합계</t>
    <phoneticPr fontId="2" type="noConversion"/>
  </si>
  <si>
    <t>BM 구분</t>
    <phoneticPr fontId="2" type="noConversion"/>
  </si>
  <si>
    <t>구간등급</t>
    <phoneticPr fontId="2" type="noConversion"/>
  </si>
  <si>
    <t>▶BM 비중 입력</t>
    <phoneticPr fontId="2" type="noConversion"/>
  </si>
  <si>
    <t>경력 10년 이상 인력 비율 30% 이상</t>
    <phoneticPr fontId="2" type="noConversion"/>
  </si>
  <si>
    <t>경력 5년 이상 10년 미만 인력 비율 40% 이상</t>
    <phoneticPr fontId="2" type="noConversion"/>
  </si>
  <si>
    <t>경력 3년 이상~5년 미만 인력 비율 40% 이상</t>
    <phoneticPr fontId="2" type="noConversion"/>
  </si>
  <si>
    <t>척도유형</t>
    <phoneticPr fontId="2" type="noConversion"/>
  </si>
  <si>
    <t>재무 안전성</t>
    <phoneticPr fontId="2" type="noConversion"/>
  </si>
  <si>
    <t>운영 지속성</t>
    <phoneticPr fontId="2" type="noConversion"/>
  </si>
  <si>
    <t>기술 신뢰성</t>
    <phoneticPr fontId="2" type="noConversion"/>
  </si>
  <si>
    <t>교육적 가치</t>
    <phoneticPr fontId="2" type="noConversion"/>
  </si>
  <si>
    <t>기술적 가치</t>
    <phoneticPr fontId="2" type="noConversion"/>
  </si>
  <si>
    <t>사회적 가치</t>
    <phoneticPr fontId="2" type="noConversion"/>
  </si>
  <si>
    <r>
      <t xml:space="preserve">가중치
</t>
    </r>
    <r>
      <rPr>
        <b/>
        <sz val="10"/>
        <color theme="0"/>
        <rFont val="맑은 고딕"/>
        <family val="3"/>
        <charset val="129"/>
        <scheme val="minor"/>
      </rPr>
      <t>(하위
지표)</t>
    </r>
    <phoneticPr fontId="2" type="noConversion"/>
  </si>
  <si>
    <t xml:space="preserve">2. 공교육 특화 가치 평가 </t>
    <phoneticPr fontId="4" type="noConversion"/>
  </si>
  <si>
    <t>1. 기업 역량 평가</t>
    <phoneticPr fontId="4" type="noConversion"/>
  </si>
  <si>
    <t>0. 기본 자격 검증</t>
    <phoneticPr fontId="2" type="noConversion"/>
  </si>
  <si>
    <t>학습자가 학습 경로, 순서 또는 난이도를 스스로 선택할 수 있도록 기능 또는 사용 환경을 제공함</t>
    <phoneticPr fontId="2" type="noConversion"/>
  </si>
  <si>
    <t>학습자가 자신의 학습 목표를 설정하고, 학습 진행 상황을 스스로 확인할 수 있도록 지원함</t>
    <phoneticPr fontId="2" type="noConversion"/>
  </si>
  <si>
    <t>학습자의 선택이나 수행 결과에 따라 학습 흐름이나 제공되는 피드백이 달라지도록 설계됨</t>
    <phoneticPr fontId="2" type="noConversion"/>
  </si>
  <si>
    <t>학습 과정이나 결과에 대한 피드백 또는 학습 요약 정보를 학습자에게 제공함</t>
    <phoneticPr fontId="2" type="noConversion"/>
  </si>
  <si>
    <t>학습자가 과제 수행 결과, 포트폴리오 등 학습 결과물을 생성·저장·관리할 수 있도록 지원함</t>
    <phoneticPr fontId="2" type="noConversion"/>
  </si>
  <si>
    <t>학습자가 학습 과정 중 반복, 중단, 재개 등 학습 진행 방식을 스스로 조절할 수 있도록 구성됨</t>
    <phoneticPr fontId="2" type="noConversion"/>
  </si>
  <si>
    <t>수업 계획서 또는 학습 경로 자동 생성 기능(템플릿 또는 AI 기반)을 보유함</t>
    <phoneticPr fontId="2" type="noConversion"/>
  </si>
  <si>
    <t>교육 자료를 업로드·분류·검색할 수 있는 통합 관리 기능을 제공함</t>
    <phoneticPr fontId="2" type="noConversion"/>
  </si>
  <si>
    <t>객관식 또는 단답형 문항을 자동 출제 또는 채점하는 기능을 제공함</t>
    <phoneticPr fontId="2" type="noConversion"/>
  </si>
  <si>
    <t>학습자별 또는 그룹별 학습 진도율을 실시간으로 확인할 수 있는 기능을 제공함</t>
    <phoneticPr fontId="2" type="noConversion"/>
  </si>
  <si>
    <t>출결 정보를 자동으로 확인하거나 간편하게 관리할 수 있는 기능을 제공함</t>
    <phoneticPr fontId="2" type="noConversion"/>
  </si>
  <si>
    <t>성적 데이터를 자동으로 분석하고 결과 리포트를 생성하는 기능을 제공함</t>
    <phoneticPr fontId="2" type="noConversion"/>
  </si>
  <si>
    <t>학습 현황 공유 또는 메시지 전송 등 학부모와의 소통 기능을 제공함</t>
    <phoneticPr fontId="2" type="noConversion"/>
  </si>
  <si>
    <t>교사의 긍정적 사용 후기 또는 추천서 등 만족도 증빙 자료를 보유함</t>
    <phoneticPr fontId="2" type="noConversion"/>
  </si>
  <si>
    <t>주요 기능을 별도의 교육 없이 사용할 수 있도록 화면이 설계됨</t>
    <phoneticPr fontId="2" type="noConversion"/>
  </si>
  <si>
    <t>스마트폰·태블릿PC 등 모바일 환경에서도 사용이 가능하도록 설계됨</t>
    <phoneticPr fontId="2" type="noConversion"/>
  </si>
  <si>
    <t>학교에서 사용하는 학습관리시스템(LMS) 또는 학교 홈페이지 등과 연계하여 사용할 수 있도록 구성됨</t>
    <phoneticPr fontId="2" type="noConversion"/>
  </si>
  <si>
    <t>다수 사용자(500명 이상)가 동시에 접속하는 환경을 고려하여 시스템이 구성됨</t>
    <phoneticPr fontId="2" type="noConversion"/>
  </si>
  <si>
    <t>전화·채팅·이메일 등 사용자 문의·답변 채널을 운영함</t>
    <phoneticPr fontId="2" type="noConversion"/>
  </si>
  <si>
    <t>온라인 도움말, 튜토리얼, FAQ 등 사용자 매뉴얼을 제공함</t>
    <phoneticPr fontId="2" type="noConversion"/>
  </si>
  <si>
    <t>초·중·고등학교 중 1개 이상 해당 학교급의 국가교육과정 내용을 반영하여 콘텐츠 또는 기능을 구성함</t>
    <phoneticPr fontId="2" type="noConversion"/>
  </si>
  <si>
    <t>교육부 고시 2022년 개정 교육과정의 성취기준을 기준으로 학습활동·평가를 구성함</t>
    <phoneticPr fontId="2" type="noConversion"/>
  </si>
  <si>
    <t>국가교육과정 내용체계(핵심아이디어·지식·기능·태도 등) 또는 검정 교과서의 단원·내용 체계를 기반으로 콘텐츠 또는 기능을 구성함</t>
    <phoneticPr fontId="2" type="noConversion"/>
  </si>
  <si>
    <t>국가교육과정 평가 체계를 반영한 평가 콘텐츠 또는 기능을 제공함</t>
    <phoneticPr fontId="2" type="noConversion"/>
  </si>
  <si>
    <t>AI 기반 개인화, 적응형 학습, 학습 분석 등 디지털 기반 맞춤형 학습 기능을 제공함</t>
    <phoneticPr fontId="2" type="noConversion"/>
  </si>
  <si>
    <t>기초문해력·수리력 보완, 수준별 학습 또는 진도 차이 조정 등을 지원하는 기능 또는 콘텐츠를 제공함</t>
    <phoneticPr fontId="2" type="noConversion"/>
  </si>
  <si>
    <t>원격수업, 디지털 학습도구 활용 또는 수행평가 운영 등 학교의 디지털 수업·평가 체계 혁신을 지원함</t>
    <phoneticPr fontId="2" type="noConversion"/>
  </si>
  <si>
    <t>학생의 정서, 안전 또는 복지와 관련된 지원 기능을 제공함</t>
    <phoneticPr fontId="2" type="noConversion"/>
  </si>
  <si>
    <t>진로·진학 관련 콘텐츠 또는 기능을 제공함</t>
    <phoneticPr fontId="2" type="noConversion"/>
  </si>
  <si>
    <t>STEAM, 메이커교육 등 창의융합교육을 주제로 한 콘텐츠 또는 학습 활동을 제공함</t>
    <phoneticPr fontId="2" type="noConversion"/>
  </si>
  <si>
    <t>AI를 활용하여 학습자의 학습 패턴, 성취 수준 또는 취약 요소를 분석함</t>
    <phoneticPr fontId="2" type="noConversion"/>
  </si>
  <si>
    <t>학습자의 수준 또는 특성에 따라 콘텐츠를 자동으로 추천하는 기능을 포함하고 있음</t>
    <phoneticPr fontId="2" type="noConversion"/>
  </si>
  <si>
    <t>학습자의 반응 또는 학습 결과에 따라 학습 경로가 자동으로 조정되도록 구성됨</t>
    <phoneticPr fontId="2" type="noConversion"/>
  </si>
  <si>
    <t>학습자별로 맞춤화된 진도 설정 및 관리 기능을 제공함</t>
    <phoneticPr fontId="2" type="noConversion"/>
  </si>
  <si>
    <t>학습 수준 또는 유형에 따라 차별화된 평가 문제, 과제를 제공함</t>
    <phoneticPr fontId="2" type="noConversion"/>
  </si>
  <si>
    <t>개인별 학습 성과 또는 학습 현황을 대시보드 형태로 시각화하여 제공함</t>
    <phoneticPr fontId="2" type="noConversion"/>
  </si>
  <si>
    <t>포인트, 배지, 리더보드 등 게이미피케이션 요소를 학습에 적용함</t>
    <phoneticPr fontId="2" type="noConversion"/>
  </si>
  <si>
    <t>VR·XR·AR 기술을 활용한 학습 콘텐츠 또는 학습 환경을 제공함</t>
    <phoneticPr fontId="2" type="noConversion"/>
  </si>
  <si>
    <t>3D 가상공간에서 학습이 가능한 메타버스 기반 학습 환경을 운영함</t>
    <phoneticPr fontId="2" type="noConversion"/>
  </si>
  <si>
    <t>학습자 간 실시간 그룹활동 또는 토론이 가능한 협력학습 기능을 제공함</t>
    <phoneticPr fontId="2" type="noConversion"/>
  </si>
  <si>
    <t>프로젝트 수행 및 포트폴리오 제작이 가능하도록 프로젝트 기반 학습(PBL)을 지원함</t>
    <phoneticPr fontId="2" type="noConversion"/>
  </si>
  <si>
    <t>사전학습과 수업활동이 연계되는 플립러닝 구조를 지원함</t>
    <phoneticPr fontId="2" type="noConversion"/>
  </si>
  <si>
    <t>온·오프라인 학습을 연계한 블렌디드 러닝 설계를 지원함</t>
    <phoneticPr fontId="2" type="noConversion"/>
  </si>
  <si>
    <t>5~10분 단위의 짧은 학습 콘텐츠로 구성된 마이크로러닝을 지원함</t>
    <phoneticPr fontId="2" type="noConversion"/>
  </si>
  <si>
    <t>학습자 간 지식 공유 및 소통이 가능한 학습 커뮤니티를 운영함</t>
    <phoneticPr fontId="2" type="noConversion"/>
  </si>
  <si>
    <t>학습 결과를 즉시 분석하고 피드백을 제공하는 기능을 지원함</t>
    <phoneticPr fontId="2" type="noConversion"/>
  </si>
  <si>
    <t>학습 이력(진도, 성취도, 참여도 등)을 추적·관리하여 학습 취약점 분석에 활용함</t>
    <phoneticPr fontId="2" type="noConversion"/>
  </si>
  <si>
    <t>학습 결과를 시각화한 리포트를 교사·학부모에게 제공함</t>
    <phoneticPr fontId="2" type="noConversion"/>
  </si>
  <si>
    <t>초· 중·고등학교 학습자의 특성을 고려하여, 해당 학교급 수준에 적합한 인터페이스와 정보 제시 구조로 설계됨
(초등 학습자는 직관적·시각적 요소 중심으로, 중·고등 학습자는 자율적 탐색과 효율적 정보 구조 중심으로 설계되어 있음)</t>
    <phoneticPr fontId="2" type="noConversion"/>
  </si>
  <si>
    <t>주요 기능은 3클릭 이내로 접근 가능하도록 구성되어 있음</t>
    <phoneticPr fontId="2" type="noConversion"/>
  </si>
  <si>
    <t>화면 간 네비게이션과 기능 배치가 일관되게 구성되어 있음</t>
    <phoneticPr fontId="2" type="noConversion"/>
  </si>
  <si>
    <t>학습 활동 이후 학습 결과 또는 수행 내용에 대한 명확한 피드백 메시지를 제공함</t>
    <phoneticPr fontId="2" type="noConversion"/>
  </si>
  <si>
    <t>학습 진도 또는 성취 수준을 시각적으로 확인할 수 있도록 제공함</t>
    <phoneticPr fontId="2" type="noConversion"/>
  </si>
  <si>
    <t>학습자가 학습 목표를 설정하고 자신의 학습 진척도를 확인할 수 있는 기능을 제공함</t>
    <phoneticPr fontId="2" type="noConversion"/>
  </si>
  <si>
    <t>키보드만으로 모든 기능을 사용할 수 있도록 설계되어 있음</t>
    <phoneticPr fontId="2" type="noConversion"/>
  </si>
  <si>
    <t>고대비 모드 또는 색상 대비 조정 기능을 제공하여 시각 장애 학습자를 지원함</t>
    <phoneticPr fontId="2" type="noConversion"/>
  </si>
  <si>
    <t>자막을 제공하여 청각 장애 학습자를 지원함</t>
    <phoneticPr fontId="2" type="noConversion"/>
  </si>
  <si>
    <t>이미지에 대체 텍스트를 제공함</t>
    <phoneticPr fontId="2" type="noConversion"/>
  </si>
  <si>
    <t>화면 확대·축소(최대 200%) 기능을 지원함</t>
    <phoneticPr fontId="2" type="noConversion"/>
  </si>
  <si>
    <t>스크린리더와 호환되는 구조로 설계되어 있음</t>
    <phoneticPr fontId="2" type="noConversion"/>
  </si>
  <si>
    <t>명확한 학습 목표를 제시함</t>
    <phoneticPr fontId="2" type="noConversion"/>
  </si>
  <si>
    <t>학습 중 즉각적인 피드백을 제공함</t>
    <phoneticPr fontId="2" type="noConversion"/>
  </si>
  <si>
    <t>학습자의 수준에 맞게 난이도를 조절할 수 있음</t>
    <phoneticPr fontId="2" type="noConversion"/>
  </si>
  <si>
    <t>학습 중 불필요한 알림, 화면 전환 등 학습 집중을 방해하는 요소를 최소화하도록 구성되어 있음</t>
    <phoneticPr fontId="2" type="noConversion"/>
  </si>
  <si>
    <t>포인트, 배지 등 게이미피케이션 요소를 학습에 적용함</t>
    <phoneticPr fontId="2" type="noConversion"/>
  </si>
  <si>
    <t>학습 진행 상황을 시각화하여 학습 몰입을 지원함</t>
    <phoneticPr fontId="2" type="noConversion"/>
  </si>
  <si>
    <t>학습 콘텐츠를 기기에 사전 다운로드할 수 있는 기능을 제공함</t>
    <phoneticPr fontId="2" type="noConversion"/>
  </si>
  <si>
    <t>오프라인 환경에서도 학습이 가능하도록 지원함</t>
    <phoneticPr fontId="2" type="noConversion"/>
  </si>
  <si>
    <t>온라인 연결 시 학습 데이터가 자동으로 동기화되도록 지원함</t>
    <phoneticPr fontId="2" type="noConversion"/>
  </si>
  <si>
    <t>저화질 모드를 제공하여 데이터 사용량을 줄일 수 있음</t>
    <phoneticPr fontId="2" type="noConversion"/>
  </si>
  <si>
    <t>이미지 압축 기능을 통해 데이터 사용량을 절감함</t>
    <phoneticPr fontId="2" type="noConversion"/>
  </si>
  <si>
    <t>데이터 사용량을 사용자가 확인할수 있도록 표시함</t>
    <phoneticPr fontId="2" type="noConversion"/>
  </si>
  <si>
    <t>5년 이상 된 기기(저사양 PC, 구형 태블릿 등)에서도 정상적으로 작동함</t>
    <phoneticPr fontId="2" type="noConversion"/>
  </si>
  <si>
    <t>데이터 최소 수집 원칙을 준수함</t>
    <phoneticPr fontId="2" type="noConversion"/>
  </si>
  <si>
    <t>수집 목적 범위 내에서만 데이터를 활용하도록 규정을 명시함</t>
    <phoneticPr fontId="2" type="noConversion"/>
  </si>
  <si>
    <t>학생 데이터의 제3자 제공을 금지하는 규정을 갖추고 있음</t>
    <phoneticPr fontId="2" type="noConversion"/>
  </si>
  <si>
    <t>데이터 보유 기간에 대한 내부 기준을 갖추고 있음</t>
    <phoneticPr fontId="2" type="noConversion"/>
  </si>
  <si>
    <t>사용자의 데이터 삭제 요청을 처리하기 위한 절차가 있음</t>
    <phoneticPr fontId="2" type="noConversion"/>
  </si>
  <si>
    <t>직원 대상 데이터 윤리 교육을 연 1회 이상 실시함</t>
    <phoneticPr fontId="2" type="noConversion"/>
  </si>
  <si>
    <t>데이터·AI 알고리즘의 공정성을 정기적으로 점검함</t>
    <phoneticPr fontId="2" type="noConversion"/>
  </si>
  <si>
    <t>데이터 활용 결과를 사용자에게 설명하는 체계를 마련함</t>
    <phoneticPr fontId="2" type="noConversion"/>
  </si>
  <si>
    <t>시·도교육청과 공식 협력 MOU 또는 협약을 체결함</t>
    <phoneticPr fontId="2" type="noConversion"/>
  </si>
  <si>
    <t>지역 교육지원청과 공동 교육 프로그램을 운영함</t>
    <phoneticPr fontId="2" type="noConversion"/>
  </si>
  <si>
    <t>초·중·고등학교와 공동 수업 또는 기자재 도입 사업을 수행함</t>
    <phoneticPr fontId="2" type="noConversion"/>
  </si>
  <si>
    <t>특수학교·대안학교와 협력하여 교육을 지원함</t>
    <phoneticPr fontId="2" type="noConversion"/>
  </si>
  <si>
    <t>대학(교대·사범대 등)과 연구 프로젝트 또는 부설학교 운영에 협력함</t>
    <phoneticPr fontId="2" type="noConversion"/>
  </si>
  <si>
    <t>KERIS 등 교육 관련 공공기관과 협력한 경험을 보유함</t>
    <phoneticPr fontId="2" type="noConversion"/>
  </si>
  <si>
    <t>1년 이상 교육기관과 공식적인 협력 관계를 지속한 경험을 보유함</t>
    <phoneticPr fontId="2" type="noConversion"/>
  </si>
  <si>
    <t>교재·교육자료를 교사와 공동으로 개발함</t>
    <phoneticPr fontId="2" type="noConversion"/>
  </si>
  <si>
    <t>교사 연수 프로그램을 운영함</t>
    <phoneticPr fontId="2" type="noConversion"/>
  </si>
  <si>
    <t>언론·학회 등을 통해 협력 성과를 공유한 이력이 있음</t>
    <phoneticPr fontId="2" type="noConversion"/>
  </si>
  <si>
    <t>KWCAG 또는 국제 WCAG 기준에 따라 화면낭독기, 자막, 대체텍스트 등 웹 접근성 관련 기능을 제공함</t>
    <phoneticPr fontId="2" type="noConversion"/>
  </si>
  <si>
    <t>한국어 외 다문화·외국인 학습자를 위한 다국어 UI 또는 콘텐츠를 제공함</t>
    <phoneticPr fontId="2" type="noConversion"/>
  </si>
  <si>
    <t>난독증 친화 글꼴, 집중 모드, 읽기 도우미 등 학습장애 학습자를 고려한 기능을 제공함</t>
    <phoneticPr fontId="2" type="noConversion"/>
  </si>
  <si>
    <t>저사양 기기 또는 제한된 인터넷 환경에서도 학습이 가능하도록 기능 또는 서비스 구조를 갖추고 있음</t>
    <phoneticPr fontId="2" type="noConversion"/>
  </si>
  <si>
    <t>학습자의 수준·특성(예: 장애 유형 등)에 따라 화면, 콘텐츠 또는 학습 방식에 대한 맞춤 설정을 지원함</t>
    <phoneticPr fontId="2" type="noConversion"/>
  </si>
  <si>
    <t>농산어촌·소규모 학교 등을 포함하여 다양한 교육 환경에서 활용을 전제로 한 서비스 구조를 갖추고 있음</t>
    <phoneticPr fontId="2" type="noConversion"/>
  </si>
  <si>
    <t>1년 이내 출시된 최신 기기에서만 정상적으로 작동함</t>
    <phoneticPr fontId="2" type="noConversion"/>
  </si>
  <si>
    <t>3년 이내 출시된 기기에서 원활하게 작동함</t>
    <phoneticPr fontId="2" type="noConversion"/>
  </si>
  <si>
    <t>교육 관련 전문 인력이 내부에 없으나, 상시 외부 교육 전문가 검증 자문 회의 체계를 운영함</t>
    <phoneticPr fontId="2" type="noConversion"/>
  </si>
  <si>
    <t>교육 관련 전문 인력이 내부에 없으나, 필요 시 외부 교육 전문가에게 검증을 의뢰함</t>
    <phoneticPr fontId="2" type="noConversion"/>
  </si>
  <si>
    <t>교육 관련 전문 인력이 내부에 없으며, 외부 검증, 자문 체계도 미비함</t>
    <phoneticPr fontId="2" type="noConversion"/>
  </si>
  <si>
    <t>학습 성취도나 중도탈락 위험을 예측하는 모델을 운영함</t>
    <phoneticPr fontId="2" type="noConversion"/>
  </si>
  <si>
    <t>학습 행동 데이터를 분석·시각화하여 교사와 관리자에게 인사이트를 제공함</t>
    <phoneticPr fontId="2" type="noConversion"/>
  </si>
  <si>
    <t>학습자의 수준을 분석하고 진단할 수 있는 기능을 제공함</t>
    <phoneticPr fontId="2" type="noConversion"/>
  </si>
  <si>
    <t>학습 수준별 콘텐츠를 자동으로 매칭하는 개인화 추천 시스템을 운영함</t>
    <phoneticPr fontId="2" type="noConversion"/>
  </si>
  <si>
    <t>학습 데이터(사용 시간, 행동 패턴, 반응 등)를 수집·분석할 수 있는 센서 기능을 제공함</t>
    <phoneticPr fontId="2" type="noConversion"/>
  </si>
  <si>
    <t>디바이스 내에 탑재된 AI 알고리즘을 통해 학습자 반응을 분석하고, 실시간 피드백을 제공함</t>
    <phoneticPr fontId="2" type="noConversion"/>
  </si>
  <si>
    <t>학습자별 맞춤형 학습 리포트를 제공함</t>
    <phoneticPr fontId="2" type="noConversion"/>
  </si>
  <si>
    <t>현재 학습 수준을 진단하는 평가 도구를 운영함</t>
    <phoneticPr fontId="2" type="noConversion"/>
  </si>
  <si>
    <t>학습 계획 수립과 진행을 관리하는 진도 관리 시스템을 운영함</t>
    <phoneticPr fontId="2" type="noConversion"/>
  </si>
  <si>
    <t>교사와 학습자에게 개선 방향을 제시하는 교육적 피드백을 제공함</t>
    <phoneticPr fontId="2" type="noConversion"/>
  </si>
  <si>
    <t>학습데이터를 실시간으로 모니터링하며, 안정적 전송을 위한 네트워크 품질 관리 체계를 운영함</t>
    <phoneticPr fontId="2" type="noConversion"/>
  </si>
  <si>
    <t>학습데이터 처리 속도 향상과 장애 대응을 위한 클라우드·CDN 기반 인프라를 구축함</t>
    <phoneticPr fontId="2" type="noConversion"/>
  </si>
  <si>
    <t>학습데이터 백업 및 복구 체계를 갖추어 데이터 손실을 예방함</t>
    <phoneticPr fontId="2" type="noConversion"/>
  </si>
  <si>
    <t>REST API를 제공하여 외부 시스템과 데이터 연계가 가능함</t>
    <phoneticPr fontId="2" type="noConversion"/>
  </si>
  <si>
    <t>표준 인증 체계(OAuth 2.0 등) 를 적용하여 안전한 연동을 지원함</t>
    <phoneticPr fontId="2" type="noConversion"/>
  </si>
  <si>
    <t>표준 데이터 포맷(JSON, XML 등) 을 사용하여 상호운용성 확보가 가능함</t>
    <phoneticPr fontId="2" type="noConversion"/>
  </si>
  <si>
    <t>학교 행정시스템(NEIS, LMS, 학교 홈페이지 등) 과의 연동을 지원함</t>
    <phoneticPr fontId="2" type="noConversion"/>
  </si>
  <si>
    <t>데이터 백업 및 복원 기능을 제공하여 서비스 변경 시 정보 손실을 방지함</t>
    <phoneticPr fontId="2" type="noConversion"/>
  </si>
  <si>
    <t>시스템 변경이나 버전 업그레이드 시 데이터 이관 테스트 및 검증 절차를 수행함</t>
    <phoneticPr fontId="2" type="noConversion"/>
  </si>
  <si>
    <t>데이터 내보내기 화면 또는 모듈을 제공하여 사용자가 직접 이관이 가능함</t>
    <phoneticPr fontId="2" type="noConversion"/>
  </si>
  <si>
    <t>다국어 지원 서비스 화면을 제공함</t>
    <phoneticPr fontId="2" type="noConversion"/>
  </si>
  <si>
    <t>글로벌 인증(ISO, CE, 현지 교육부 인증 등)을 보유함</t>
    <phoneticPr fontId="2" type="noConversion"/>
  </si>
  <si>
    <t>해외 전시회·박람회 참가 경험을 보유함</t>
    <phoneticPr fontId="2" type="noConversion"/>
  </si>
  <si>
    <t>데이터베이스 설계 및 관리 전문 인력을 보유함</t>
    <phoneticPr fontId="2" type="noConversion"/>
  </si>
  <si>
    <t>클라우드 인프라(AWS, Azure 등) 관리 인력을 보유함</t>
    <phoneticPr fontId="2" type="noConversion"/>
  </si>
  <si>
    <t>UI/UX 디자인 및 사용자 환경 설계 전문 인력을 보유함</t>
    <phoneticPr fontId="2" type="noConversion"/>
  </si>
  <si>
    <t>보안 관리(정보보호기사, ISMS 등) 전문 인력을 보유함</t>
    <phoneticPr fontId="2" type="noConversion"/>
  </si>
  <si>
    <t>데이터 분석 및 AI 응용 역량을 보유한 인력을 보유함</t>
    <phoneticPr fontId="2" type="noConversion"/>
  </si>
  <si>
    <t>교육과정 분석 및 교수설계(ID) 역량을 가진 인력을 보유함</t>
    <phoneticPr fontId="2" type="noConversion"/>
  </si>
  <si>
    <t>멀티미디어 제작 및 영상 편집 전문 인력을 보유함</t>
    <phoneticPr fontId="2" type="noConversion"/>
  </si>
  <si>
    <t>UI/UX 디자인 관련 전공 또는 자격을 보유한 인력을 보유함</t>
    <phoneticPr fontId="2" type="noConversion"/>
  </si>
  <si>
    <t>데이터 분석 및 학습효과 검증 인력을 보유함</t>
    <phoneticPr fontId="2" type="noConversion"/>
  </si>
  <si>
    <t>품질관리(QA) 및 검수 체계를 운영함</t>
    <phoneticPr fontId="2" type="noConversion"/>
  </si>
  <si>
    <t>HW 설계 및 회로 개발 인력을 보유함</t>
    <phoneticPr fontId="2" type="noConversion"/>
  </si>
  <si>
    <t>SW·펌웨어 개발 인력을 보유함</t>
    <phoneticPr fontId="2" type="noConversion"/>
  </si>
  <si>
    <t>제조·공정 관리 인력을 보유함</t>
    <phoneticPr fontId="2" type="noConversion"/>
  </si>
  <si>
    <t>품질관리 및 테스트(QA) 인력을 보유함</t>
    <phoneticPr fontId="2" type="noConversion"/>
  </si>
  <si>
    <t>유지보수 및 AS 체계를 운영함</t>
    <phoneticPr fontId="2" type="noConversion"/>
  </si>
  <si>
    <t>교육 전문(교원자격 보유·교육학 전공) 인력을 보유함</t>
    <phoneticPr fontId="2" type="noConversion"/>
  </si>
  <si>
    <t>교육 운영 및 현장 관리 전담 인력을 보유함</t>
    <phoneticPr fontId="2" type="noConversion"/>
  </si>
  <si>
    <t>고객관리·소통 담당 인력을 보유함</t>
    <phoneticPr fontId="2" type="noConversion"/>
  </si>
  <si>
    <t>성과 분석 및 교육 평가 담당 인력을 보유함</t>
    <phoneticPr fontId="2" type="noConversion"/>
  </si>
  <si>
    <t>교육 컨설팅 및 환류 지원 인력을 보유함</t>
    <phoneticPr fontId="2" type="noConversion"/>
  </si>
  <si>
    <t>네트워크 설계 및 구축 인력을 보유함</t>
    <phoneticPr fontId="2" type="noConversion"/>
  </si>
  <si>
    <t>보안 관리 전문 인력을 보유함</t>
    <phoneticPr fontId="2" type="noConversion"/>
  </si>
  <si>
    <t>시스템 모니터링 인력을 보유함</t>
    <phoneticPr fontId="2" type="noConversion"/>
  </si>
  <si>
    <t>클라우드 인프라 관리 인력을 보유함</t>
    <phoneticPr fontId="2" type="noConversion"/>
  </si>
  <si>
    <t>장애 대응 및 복구 체계를 운영함</t>
    <phoneticPr fontId="2" type="noConversion"/>
  </si>
  <si>
    <t>학습관리, 분석, 평가, 피드백 기능을 모두 구현함</t>
    <phoneticPr fontId="2" type="noConversion"/>
  </si>
  <si>
    <t>교사·학생·학부모가 통합적으로 연계되는 서비스를 제공함</t>
    <phoneticPr fontId="2" type="noConversion"/>
  </si>
  <si>
    <t>학습관리·분석·소통 기능을 통합 운영할 수 있도록 설계함</t>
    <phoneticPr fontId="2" type="noConversion"/>
  </si>
  <si>
    <t>교사·학생 간 실시간 피드백 및 소통 기능을 제공함</t>
    <phoneticPr fontId="2" type="noConversion"/>
  </si>
  <si>
    <t>동시접속자 10,000명 이상 환경에서도 안정적으로 운영함</t>
    <phoneticPr fontId="2" type="noConversion"/>
  </si>
  <si>
    <t>동시접속자 5,000명 이상~9999명 환경에서 안정적으로 운영함</t>
    <phoneticPr fontId="2" type="noConversion"/>
  </si>
  <si>
    <t>동시접속자 1,000명 이상~4999명의 환경에서 안정적으로 운영함</t>
    <phoneticPr fontId="2" type="noConversion"/>
  </si>
  <si>
    <t>동시접속자 1000명 미만의 환경에서 기본적인 서비스 안정성을 유지함</t>
    <phoneticPr fontId="2" type="noConversion"/>
  </si>
  <si>
    <t>XR·VR·AR 등 실감형 기술을 활용함</t>
    <phoneticPr fontId="2" type="noConversion"/>
  </si>
  <si>
    <t>최근 3년간 자체 개발 제품 5종 이상을 보유함</t>
    <phoneticPr fontId="2" type="noConversion"/>
  </si>
  <si>
    <t>최근 3년간 자체 개발 제품 3~4종을 보유함</t>
    <phoneticPr fontId="2" type="noConversion"/>
  </si>
  <si>
    <t>최근 3년간 자체 개발 제품 1~2종을 보유함</t>
    <phoneticPr fontId="2" type="noConversion"/>
  </si>
  <si>
    <t>OEM/ODM 제품 중심으로 운영함</t>
    <phoneticPr fontId="2" type="noConversion"/>
  </si>
  <si>
    <t>독자 기술을 적용하고, 공인 시험·인증을 통과함</t>
    <phoneticPr fontId="2" type="noConversion"/>
  </si>
  <si>
    <t>부분적으로 독자 기술을 적용함</t>
    <phoneticPr fontId="2" type="noConversion"/>
  </si>
  <si>
    <t>상용 기술을 활용함</t>
    <phoneticPr fontId="2" type="noConversion"/>
  </si>
  <si>
    <t>최근 1년간 교육 서비스 프로젝트를 15건 이상 운영함</t>
    <phoneticPr fontId="2" type="noConversion"/>
  </si>
  <si>
    <t>최근 1년간 프로젝트를 10~14건 운영함</t>
    <phoneticPr fontId="2" type="noConversion"/>
  </si>
  <si>
    <t>최근 1년간 프로젝트를 5~9건 운영함</t>
    <phoneticPr fontId="2" type="noConversion"/>
  </si>
  <si>
    <t>최근 1년간 프로젝트를 4건 이하 운영함</t>
    <phoneticPr fontId="2" type="noConversion"/>
  </si>
  <si>
    <t>기획–실행–평가–환류 전 과정을 수행하고, 교사 연수·학생 지원까지 포함하고 있음</t>
    <phoneticPr fontId="2" type="noConversion"/>
  </si>
  <si>
    <t>기획–실행–평가 전 과정을 수행함</t>
    <phoneticPr fontId="2" type="noConversion"/>
  </si>
  <si>
    <t>기획–실행 중심으로 운영하고 있으며, 평가 체계는 부분적으로 운영함</t>
    <phoneticPr fontId="2" type="noConversion"/>
  </si>
  <si>
    <t>단발성 사업 수행 중심으로 운영함</t>
    <phoneticPr fontId="2" type="noConversion"/>
  </si>
  <si>
    <t>전국 모든 시·도 단위에서 서비스를 운영함</t>
    <phoneticPr fontId="2" type="noConversion"/>
  </si>
  <si>
    <t>3개 이상 광역시·도 단위에서 서비스를 운영함</t>
    <phoneticPr fontId="2" type="noConversion"/>
  </si>
  <si>
    <t>1~2개 광역시·도 단위에서 서비스를 운영함</t>
    <phoneticPr fontId="2" type="noConversion"/>
  </si>
  <si>
    <t>시·군·구 등 기초 지자체 단위에서 서비스를 운영함</t>
    <phoneticPr fontId="2" type="noConversion"/>
  </si>
  <si>
    <t>단일 지역 또는 시범 운영 수준으로 운영함</t>
    <phoneticPr fontId="2" type="noConversion"/>
  </si>
  <si>
    <t>클라우드 기반 서비스에 부하 분산·자동 복구 체계를 운영함</t>
    <phoneticPr fontId="2" type="noConversion"/>
  </si>
  <si>
    <t>클라우드 기반 서비스에 CDN 일부를 구축하여 트래픽 분산을 지원함</t>
    <phoneticPr fontId="2" type="noConversion"/>
  </si>
  <si>
    <t>클라우드 네이티브 아키텍처 기반으로 전국단위 CDN을 구축하여 운영함</t>
    <phoneticPr fontId="2" type="noConversion"/>
  </si>
  <si>
    <t>기본 IaaS/SaaS 수준에서 네트워크 서비스를 운영함</t>
    <phoneticPr fontId="2" type="noConversion"/>
  </si>
  <si>
    <t>온프레미스 기반이거나 제한적인 수준의 클라우드 환경을 병행하여 운영함</t>
    <phoneticPr fontId="2" type="noConversion"/>
  </si>
  <si>
    <t>AI 기반 독자 기술 또는 SW 저작권·특허/IP 2건 이상, 외부 인증·수상·논문 등 공식적인 기술 검증 실적을 보유함</t>
    <phoneticPr fontId="2" type="noConversion"/>
  </si>
  <si>
    <t>자체 개발 기술 또는 AI·데이터 분석 기능 보유, SW 저작권·특허/IP 1건 이상 보유함</t>
    <phoneticPr fontId="2" type="noConversion"/>
  </si>
  <si>
    <t>교사를 대상으로 한 온라인 또는 오프라인 연수, 설명회, 오리엔테이션 등을 제공함</t>
    <phoneticPr fontId="2" type="noConversion"/>
  </si>
  <si>
    <t>게이미피케이션 요소 또는 학습자 수준 기반 개인화 학습 기능을 제공함</t>
    <phoneticPr fontId="2" type="noConversion"/>
  </si>
  <si>
    <t>국가교육과정에 기반하여 콘텐츠의 주제·구성·학습 흐름을 설계함</t>
    <phoneticPr fontId="2" type="noConversion"/>
  </si>
  <si>
    <t>텍스트 위주가 아닌 영상·이미지·인터랙션 등 멀티미디어 요소 중심으로 콘텐츠를 구성함</t>
    <phoneticPr fontId="2" type="noConversion"/>
  </si>
  <si>
    <t>선택 
여부</t>
    <phoneticPr fontId="2" type="noConversion"/>
  </si>
  <si>
    <t>조정 
가중치</t>
    <phoneticPr fontId="2" type="noConversion"/>
  </si>
  <si>
    <t>플
랫
폼
형</t>
    <phoneticPr fontId="2" type="noConversion"/>
  </si>
  <si>
    <t>콘
텐
츠
형</t>
    <phoneticPr fontId="2" type="noConversion"/>
  </si>
  <si>
    <t>디
바
이
스
형</t>
    <phoneticPr fontId="2" type="noConversion"/>
  </si>
  <si>
    <t>서
비
스
형</t>
    <phoneticPr fontId="2" type="noConversion"/>
  </si>
  <si>
    <t>네
트
워
크
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</si>
</sst>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Segoe UI Symbol"/>
      <family val="3"/>
    </font>
    <font>
      <b/>
      <sz val="12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b/>
      <sz val="24"/>
      <color rgb="FFC00000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2"/>
      <color rgb="FF0000FF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 diagonalDown="1"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/>
  </cellStyleXfs>
  <cellXfs count="300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  <xf numFmtId="0" fontId="3" fillId="4" borderId="1" xfId="1" applyFont="1" applyFill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0" fontId="8" fillId="0" borderId="4" xfId="1" applyFont="1" applyBorder="1"/>
    <xf numFmtId="0" fontId="3" fillId="4" borderId="6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6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0" fontId="12" fillId="0" borderId="2" xfId="1" applyFont="1" applyBorder="1"/>
    <xf numFmtId="0" fontId="6" fillId="0" borderId="6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3" xfId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6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8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4" borderId="17" xfId="1" applyFont="1" applyFill="1" applyBorder="1" applyAlignment="1">
      <alignment horizontal="center" vertical="center"/>
    </xf>
    <xf numFmtId="2" fontId="22" fillId="4" borderId="18" xfId="1" applyNumberFormat="1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14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2" fontId="27" fillId="0" borderId="20" xfId="1" applyNumberFormat="1" applyFont="1" applyBorder="1" applyAlignment="1">
      <alignment vertical="center"/>
    </xf>
    <xf numFmtId="0" fontId="26" fillId="2" borderId="21" xfId="1" applyFont="1" applyFill="1" applyBorder="1" applyAlignment="1">
      <alignment horizontal="center" vertical="center"/>
    </xf>
    <xf numFmtId="0" fontId="26" fillId="2" borderId="22" xfId="1" applyFont="1" applyFill="1" applyBorder="1" applyAlignment="1">
      <alignment horizontal="center" vertical="center"/>
    </xf>
    <xf numFmtId="0" fontId="26" fillId="14" borderId="25" xfId="1" applyFont="1" applyFill="1" applyBorder="1" applyAlignment="1">
      <alignment horizontal="center" vertical="center"/>
    </xf>
    <xf numFmtId="177" fontId="18" fillId="0" borderId="2" xfId="1" applyNumberFormat="1" applyFont="1" applyBorder="1" applyAlignment="1">
      <alignment vertical="center"/>
    </xf>
    <xf numFmtId="177" fontId="18" fillId="0" borderId="6" xfId="1" applyNumberFormat="1" applyFont="1" applyBorder="1" applyAlignment="1">
      <alignment vertical="center"/>
    </xf>
    <xf numFmtId="177" fontId="10" fillId="0" borderId="2" xfId="1" applyNumberFormat="1" applyFont="1" applyBorder="1" applyAlignment="1">
      <alignment vertical="center"/>
    </xf>
    <xf numFmtId="177" fontId="10" fillId="0" borderId="3" xfId="1" applyNumberFormat="1" applyFont="1" applyBorder="1" applyAlignment="1">
      <alignment vertical="center"/>
    </xf>
    <xf numFmtId="177" fontId="10" fillId="0" borderId="6" xfId="1" applyNumberFormat="1" applyFont="1" applyBorder="1" applyAlignment="1">
      <alignment horizontal="center" vertical="center"/>
    </xf>
    <xf numFmtId="177" fontId="10" fillId="0" borderId="2" xfId="1" applyNumberFormat="1" applyFont="1" applyBorder="1" applyAlignment="1">
      <alignment horizontal="center" vertical="center"/>
    </xf>
    <xf numFmtId="177" fontId="10" fillId="0" borderId="3" xfId="1" applyNumberFormat="1" applyFont="1" applyBorder="1" applyAlignment="1">
      <alignment horizontal="center" vertical="center"/>
    </xf>
    <xf numFmtId="177" fontId="1" fillId="0" borderId="14" xfId="1" applyNumberFormat="1" applyBorder="1" applyAlignment="1">
      <alignment horizontal="center" vertical="center"/>
    </xf>
    <xf numFmtId="177" fontId="11" fillId="4" borderId="6" xfId="1" applyNumberFormat="1" applyFont="1" applyFill="1" applyBorder="1" applyAlignment="1">
      <alignment horizontal="center" vertical="center"/>
    </xf>
    <xf numFmtId="177" fontId="11" fillId="4" borderId="2" xfId="1" applyNumberFormat="1" applyFont="1" applyFill="1" applyBorder="1" applyAlignment="1">
      <alignment horizontal="center" vertical="center"/>
    </xf>
    <xf numFmtId="177" fontId="12" fillId="0" borderId="2" xfId="1" applyNumberFormat="1" applyFont="1" applyBorder="1" applyAlignment="1">
      <alignment horizontal="center" vertical="center"/>
    </xf>
    <xf numFmtId="177" fontId="12" fillId="0" borderId="3" xfId="1" applyNumberFormat="1" applyFont="1" applyBorder="1" applyAlignment="1">
      <alignment horizontal="center" vertical="center"/>
    </xf>
    <xf numFmtId="177" fontId="12" fillId="0" borderId="2" xfId="1" applyNumberFormat="1" applyFont="1" applyBorder="1"/>
    <xf numFmtId="177" fontId="12" fillId="0" borderId="3" xfId="1" applyNumberFormat="1" applyFont="1" applyBorder="1"/>
    <xf numFmtId="177" fontId="18" fillId="0" borderId="2" xfId="1" applyNumberFormat="1" applyFont="1" applyBorder="1" applyAlignment="1">
      <alignment horizontal="center" vertical="center"/>
    </xf>
    <xf numFmtId="177" fontId="13" fillId="0" borderId="2" xfId="1" applyNumberFormat="1" applyFont="1" applyBorder="1" applyAlignment="1">
      <alignment horizontal="center" vertical="center"/>
    </xf>
    <xf numFmtId="177" fontId="13" fillId="0" borderId="3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2" xfId="1" applyFont="1" applyFill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77" fontId="1" fillId="0" borderId="18" xfId="1" applyNumberFormat="1" applyBorder="1"/>
    <xf numFmtId="0" fontId="1" fillId="0" borderId="8" xfId="1" applyBorder="1"/>
    <xf numFmtId="177" fontId="21" fillId="0" borderId="19" xfId="1" applyNumberFormat="1" applyFont="1" applyBorder="1"/>
    <xf numFmtId="0" fontId="3" fillId="0" borderId="27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15" borderId="24" xfId="1" applyFont="1" applyFill="1" applyBorder="1" applyAlignment="1">
      <alignment horizontal="center"/>
    </xf>
    <xf numFmtId="0" fontId="1" fillId="11" borderId="1" xfId="1" applyFill="1" applyBorder="1"/>
    <xf numFmtId="0" fontId="3" fillId="16" borderId="23" xfId="1" applyFont="1" applyFill="1" applyBorder="1" applyAlignment="1">
      <alignment horizontal="center"/>
    </xf>
    <xf numFmtId="0" fontId="29" fillId="11" borderId="26" xfId="1" applyFont="1" applyFill="1" applyBorder="1" applyAlignment="1">
      <alignment horizontal="center"/>
    </xf>
    <xf numFmtId="177" fontId="14" fillId="0" borderId="6" xfId="1" applyNumberFormat="1" applyFont="1" applyBorder="1" applyAlignment="1">
      <alignment horizontal="center" vertical="center"/>
    </xf>
    <xf numFmtId="177" fontId="14" fillId="0" borderId="2" xfId="1" applyNumberFormat="1" applyFont="1" applyBorder="1" applyAlignment="1">
      <alignment horizontal="center" vertical="center"/>
    </xf>
    <xf numFmtId="177" fontId="14" fillId="0" borderId="3" xfId="1" applyNumberFormat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/>
    </xf>
    <xf numFmtId="177" fontId="18" fillId="0" borderId="6" xfId="1" applyNumberFormat="1" applyFont="1" applyBorder="1" applyAlignment="1">
      <alignment horizontal="center" vertical="center"/>
    </xf>
    <xf numFmtId="177" fontId="8" fillId="0" borderId="4" xfId="1" applyNumberFormat="1" applyFont="1" applyBorder="1" applyAlignment="1">
      <alignment horizontal="center"/>
    </xf>
    <xf numFmtId="2" fontId="18" fillId="0" borderId="2" xfId="1" applyNumberFormat="1" applyFont="1" applyBorder="1" applyAlignment="1">
      <alignment vertical="center"/>
    </xf>
    <xf numFmtId="0" fontId="18" fillId="0" borderId="6" xfId="1" applyFont="1" applyBorder="1" applyAlignment="1">
      <alignment vertical="center" wrapText="1"/>
    </xf>
    <xf numFmtId="2" fontId="18" fillId="0" borderId="6" xfId="1" applyNumberFormat="1" applyFont="1" applyBorder="1" applyAlignment="1">
      <alignment horizontal="center" vertical="center"/>
    </xf>
    <xf numFmtId="0" fontId="26" fillId="14" borderId="28" xfId="1" applyFont="1" applyFill="1" applyBorder="1" applyAlignment="1">
      <alignment horizontal="center" vertical="center"/>
    </xf>
    <xf numFmtId="2" fontId="28" fillId="13" borderId="20" xfId="1" applyNumberFormat="1" applyFont="1" applyFill="1" applyBorder="1" applyAlignment="1">
      <alignment horizontal="center" vertical="center"/>
    </xf>
    <xf numFmtId="0" fontId="17" fillId="8" borderId="29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 wrapText="1"/>
    </xf>
    <xf numFmtId="0" fontId="17" fillId="8" borderId="30" xfId="1" applyFont="1" applyFill="1" applyBorder="1" applyAlignment="1">
      <alignment horizontal="left" vertical="center"/>
    </xf>
    <xf numFmtId="0" fontId="24" fillId="8" borderId="30" xfId="1" applyFont="1" applyFill="1" applyBorder="1" applyAlignment="1">
      <alignment horizontal="center" vertical="center"/>
    </xf>
    <xf numFmtId="0" fontId="25" fillId="8" borderId="30" xfId="1" applyFont="1" applyFill="1" applyBorder="1" applyAlignment="1">
      <alignment horizontal="center" vertical="center"/>
    </xf>
    <xf numFmtId="0" fontId="17" fillId="8" borderId="31" xfId="1" applyFont="1" applyFill="1" applyBorder="1" applyAlignment="1">
      <alignment horizontal="center" vertical="center"/>
    </xf>
    <xf numFmtId="1" fontId="20" fillId="0" borderId="32" xfId="1" applyNumberFormat="1" applyFont="1" applyBorder="1" applyAlignment="1">
      <alignment horizontal="center" vertical="center"/>
    </xf>
    <xf numFmtId="176" fontId="19" fillId="0" borderId="32" xfId="1" applyNumberFormat="1" applyFont="1" applyBorder="1" applyAlignment="1">
      <alignment horizontal="center" vertical="center"/>
    </xf>
    <xf numFmtId="177" fontId="18" fillId="0" borderId="32" xfId="1" applyNumberFormat="1" applyFont="1" applyBorder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177" fontId="8" fillId="0" borderId="33" xfId="1" applyNumberFormat="1" applyFont="1" applyBorder="1" applyAlignment="1">
      <alignment horizontal="center"/>
    </xf>
    <xf numFmtId="0" fontId="7" fillId="3" borderId="27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2" xfId="1" applyFont="1" applyBorder="1" applyAlignment="1">
      <alignment vertical="center"/>
    </xf>
    <xf numFmtId="0" fontId="1" fillId="0" borderId="27" xfId="1" applyBorder="1" applyAlignment="1">
      <alignment vertical="center"/>
    </xf>
    <xf numFmtId="177" fontId="1" fillId="0" borderId="0" xfId="1" applyNumberFormat="1" applyAlignment="1">
      <alignment horizontal="center" vertical="center"/>
    </xf>
    <xf numFmtId="0" fontId="6" fillId="9" borderId="0" xfId="1" applyFont="1" applyFill="1" applyAlignment="1">
      <alignment vertical="center"/>
    </xf>
    <xf numFmtId="0" fontId="11" fillId="4" borderId="34" xfId="1" applyFont="1" applyFill="1" applyBorder="1" applyAlignment="1">
      <alignment horizontal="center" vertical="center"/>
    </xf>
    <xf numFmtId="177" fontId="11" fillId="4" borderId="9" xfId="1" applyNumberFormat="1" applyFont="1" applyFill="1" applyBorder="1" applyAlignment="1">
      <alignment horizontal="center" vertical="center"/>
    </xf>
    <xf numFmtId="0" fontId="11" fillId="4" borderId="9" xfId="1" applyFont="1" applyFill="1" applyBorder="1" applyAlignment="1">
      <alignment horizontal="left" vertical="center"/>
    </xf>
    <xf numFmtId="0" fontId="6" fillId="0" borderId="34" xfId="1" applyFont="1" applyBorder="1" applyAlignment="1">
      <alignment horizontal="center" vertical="center"/>
    </xf>
    <xf numFmtId="177" fontId="8" fillId="0" borderId="34" xfId="1" applyNumberFormat="1" applyFont="1" applyBorder="1" applyAlignment="1">
      <alignment horizontal="center"/>
    </xf>
    <xf numFmtId="0" fontId="7" fillId="3" borderId="9" xfId="1" applyFont="1" applyFill="1" applyBorder="1" applyAlignment="1">
      <alignment horizontal="left" vertical="center"/>
    </xf>
    <xf numFmtId="0" fontId="16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9" borderId="9" xfId="1" applyFont="1" applyFill="1" applyBorder="1" applyAlignment="1">
      <alignment vertical="center"/>
    </xf>
    <xf numFmtId="0" fontId="18" fillId="0" borderId="32" xfId="1" applyFont="1" applyBorder="1" applyAlignment="1">
      <alignment vertical="center"/>
    </xf>
    <xf numFmtId="177" fontId="14" fillId="0" borderId="3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12" fillId="0" borderId="9" xfId="1" applyFont="1" applyBorder="1"/>
    <xf numFmtId="0" fontId="12" fillId="0" borderId="9" xfId="1" applyFont="1" applyBorder="1" applyAlignment="1">
      <alignment horizontal="left"/>
    </xf>
    <xf numFmtId="0" fontId="8" fillId="0" borderId="34" xfId="1" applyFont="1" applyBorder="1"/>
    <xf numFmtId="0" fontId="8" fillId="0" borderId="34" xfId="1" applyFont="1" applyBorder="1" applyAlignment="1">
      <alignment horizontal="center"/>
    </xf>
    <xf numFmtId="0" fontId="7" fillId="3" borderId="8" xfId="1" applyFont="1" applyFill="1" applyBorder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2" fontId="22" fillId="0" borderId="0" xfId="1" applyNumberFormat="1" applyFont="1" applyAlignment="1">
      <alignment vertical="center"/>
    </xf>
    <xf numFmtId="2" fontId="27" fillId="0" borderId="0" xfId="1" applyNumberFormat="1" applyFont="1" applyAlignment="1">
      <alignment vertical="center"/>
    </xf>
    <xf numFmtId="2" fontId="28" fillId="0" borderId="0" xfId="1" applyNumberFormat="1" applyFont="1" applyAlignment="1">
      <alignment horizontal="center" vertical="center"/>
    </xf>
    <xf numFmtId="0" fontId="3" fillId="18" borderId="15" xfId="1" applyFont="1" applyFill="1" applyBorder="1" applyAlignment="1">
      <alignment horizontal="center" vertical="center"/>
    </xf>
    <xf numFmtId="2" fontId="1" fillId="0" borderId="35" xfId="1" applyNumberFormat="1" applyBorder="1" applyAlignment="1">
      <alignment horizontal="center" vertical="center"/>
    </xf>
    <xf numFmtId="0" fontId="3" fillId="17" borderId="35" xfId="1" applyFont="1" applyFill="1" applyBorder="1" applyAlignment="1">
      <alignment horizontal="center" vertical="center"/>
    </xf>
    <xf numFmtId="2" fontId="1" fillId="0" borderId="12" xfId="1" applyNumberFormat="1" applyBorder="1" applyAlignment="1">
      <alignment horizontal="center" vertical="center"/>
    </xf>
    <xf numFmtId="0" fontId="3" fillId="18" borderId="14" xfId="1" applyFont="1" applyFill="1" applyBorder="1" applyAlignment="1">
      <alignment horizontal="center" vertical="center"/>
    </xf>
    <xf numFmtId="0" fontId="3" fillId="17" borderId="0" xfId="1" applyFont="1" applyFill="1" applyAlignment="1">
      <alignment horizontal="center" vertical="center"/>
    </xf>
    <xf numFmtId="2" fontId="1" fillId="0" borderId="11" xfId="1" applyNumberFormat="1" applyBorder="1" applyAlignment="1">
      <alignment horizontal="center" vertical="center"/>
    </xf>
    <xf numFmtId="0" fontId="3" fillId="18" borderId="16" xfId="1" applyFont="1" applyFill="1" applyBorder="1" applyAlignment="1">
      <alignment horizontal="center" vertical="center"/>
    </xf>
    <xf numFmtId="2" fontId="1" fillId="0" borderId="36" xfId="1" applyNumberFormat="1" applyBorder="1" applyAlignment="1">
      <alignment horizontal="center" vertical="center"/>
    </xf>
    <xf numFmtId="0" fontId="3" fillId="17" borderId="36" xfId="1" applyFont="1" applyFill="1" applyBorder="1" applyAlignment="1">
      <alignment horizontal="center" vertical="center"/>
    </xf>
    <xf numFmtId="2" fontId="1" fillId="0" borderId="13" xfId="1" applyNumberFormat="1" applyBorder="1" applyAlignment="1">
      <alignment horizontal="center" vertical="center"/>
    </xf>
    <xf numFmtId="2" fontId="15" fillId="7" borderId="2" xfId="1" applyNumberFormat="1" applyFont="1" applyFill="1" applyBorder="1" applyAlignment="1">
      <alignment vertical="center"/>
    </xf>
    <xf numFmtId="2" fontId="15" fillId="7" borderId="3" xfId="1" applyNumberFormat="1" applyFont="1" applyFill="1" applyBorder="1" applyAlignment="1">
      <alignment vertical="center"/>
    </xf>
    <xf numFmtId="2" fontId="15" fillId="0" borderId="2" xfId="1" applyNumberFormat="1" applyFont="1" applyBorder="1" applyAlignment="1">
      <alignment vertical="center"/>
    </xf>
    <xf numFmtId="2" fontId="15" fillId="9" borderId="2" xfId="1" applyNumberFormat="1" applyFont="1" applyFill="1" applyBorder="1" applyAlignment="1">
      <alignment vertical="center"/>
    </xf>
    <xf numFmtId="2" fontId="15" fillId="7" borderId="6" xfId="1" applyNumberFormat="1" applyFont="1" applyFill="1" applyBorder="1" applyAlignment="1">
      <alignment vertical="center"/>
    </xf>
    <xf numFmtId="2" fontId="15" fillId="7" borderId="1" xfId="1" applyNumberFormat="1" applyFont="1" applyFill="1" applyBorder="1" applyAlignment="1">
      <alignment vertical="center"/>
    </xf>
    <xf numFmtId="2" fontId="15" fillId="9" borderId="1" xfId="1" applyNumberFormat="1" applyFont="1" applyFill="1" applyBorder="1" applyAlignment="1">
      <alignment vertical="center"/>
    </xf>
    <xf numFmtId="2" fontId="15" fillId="9" borderId="3" xfId="1" applyNumberFormat="1" applyFont="1" applyFill="1" applyBorder="1" applyAlignment="1">
      <alignment horizontal="center" vertical="center"/>
    </xf>
    <xf numFmtId="2" fontId="15" fillId="9" borderId="9" xfId="1" applyNumberFormat="1" applyFont="1" applyFill="1" applyBorder="1" applyAlignment="1">
      <alignment horizontal="center" vertical="center"/>
    </xf>
    <xf numFmtId="2" fontId="15" fillId="0" borderId="32" xfId="1" applyNumberFormat="1" applyFont="1" applyBorder="1" applyAlignment="1">
      <alignment vertical="center"/>
    </xf>
    <xf numFmtId="2" fontId="15" fillId="9" borderId="3" xfId="1" applyNumberFormat="1" applyFont="1" applyFill="1" applyBorder="1" applyAlignment="1">
      <alignment vertical="center"/>
    </xf>
    <xf numFmtId="2" fontId="15" fillId="9" borderId="8" xfId="1" applyNumberFormat="1" applyFont="1" applyFill="1" applyBorder="1" applyAlignment="1">
      <alignment vertical="center"/>
    </xf>
    <xf numFmtId="0" fontId="8" fillId="0" borderId="38" xfId="1" applyFont="1" applyBorder="1" applyAlignment="1">
      <alignment horizontal="center"/>
    </xf>
    <xf numFmtId="0" fontId="16" fillId="0" borderId="37" xfId="1" applyFont="1" applyBorder="1" applyAlignment="1">
      <alignment horizontal="center" vertical="center"/>
    </xf>
    <xf numFmtId="0" fontId="7" fillId="3" borderId="6" xfId="1" applyFont="1" applyFill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0" fontId="14" fillId="0" borderId="1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3" fillId="0" borderId="14" xfId="1" applyFont="1" applyBorder="1" applyAlignment="1">
      <alignment horizontal="center" vertical="center"/>
    </xf>
    <xf numFmtId="0" fontId="8" fillId="0" borderId="39" xfId="1" applyFont="1" applyBorder="1"/>
    <xf numFmtId="0" fontId="18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6" fillId="9" borderId="14" xfId="1" applyFont="1" applyFill="1" applyBorder="1" applyAlignment="1">
      <alignment vertical="center"/>
    </xf>
    <xf numFmtId="0" fontId="18" fillId="0" borderId="32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7" fontId="18" fillId="0" borderId="2" xfId="1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19" borderId="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9" fillId="12" borderId="2" xfId="1" applyFont="1" applyFill="1" applyBorder="1" applyAlignment="1">
      <alignment horizontal="center" vertical="center"/>
    </xf>
    <xf numFmtId="0" fontId="9" fillId="12" borderId="9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9" fillId="5" borderId="3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" fillId="11" borderId="27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1" borderId="6" xfId="1" applyFill="1" applyBorder="1" applyAlignment="1">
      <alignment horizontal="center" vertical="center" wrapText="1"/>
    </xf>
    <xf numFmtId="0" fontId="13" fillId="2" borderId="32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center" vertical="center" wrapText="1"/>
    </xf>
    <xf numFmtId="0" fontId="10" fillId="11" borderId="3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9" fillId="6" borderId="32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11" borderId="2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2" fillId="11" borderId="6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A993865A-F7DB-4F52-AC87-09BB858156D4}"/>
  </cellStyles>
  <dxfs count="0"/>
  <tableStyles count="0" defaultTableStyle="TableStyleMedium2" defaultPivotStyle="PivotStyleLight16"/>
  <colors>
    <mruColors>
      <color rgb="FF0000FF"/>
      <color rgb="FFFFFFCC"/>
      <color rgb="FF009999"/>
      <color rgb="FF00CC99"/>
      <color rgb="FF008080"/>
      <color rgb="FFFF7C80"/>
      <color rgb="FFFF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125672</xdr:colOff>
      <xdr:row>24</xdr:row>
      <xdr:rowOff>100648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AB9966-EBA6-49CB-57F4-FCC4777A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9075"/>
          <a:ext cx="8126672" cy="513937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홍세림" id="{251A4C23-CDB6-44D0-89B9-E795E3C0581C}" userId="S::slhong@ubob.com::d781377c-55e3-42e4-83d0-0a58758444d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37" dT="2025-11-10T08:12:13.74" personId="{251A4C23-CDB6-44D0-89B9-E795E3C0581C}" id="{4FCF5E08-86CD-47E5-B8F6-843A2594C329}">
    <text>최근 3년간</text>
  </threadedComment>
  <threadedComment ref="O178" dT="2025-11-10T08:47:44.26" personId="{251A4C23-CDB6-44D0-89B9-E795E3C0581C}" id="{0D324BEE-D071-41BA-8C71-E4A42B1C0A58}">
    <text xml:space="preserve">교원 자격증, 교육학 전공자, 교육 경력 보유 인력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E4D-BCDB-4F34-A392-FDEE382206CD}">
  <dimension ref="A1:AA353"/>
  <sheetViews>
    <sheetView showGridLines="0" tabSelected="1" zoomScale="60" zoomScaleNormal="60" workbookViewId="0">
      <pane ySplit="7" topLeftCell="A8" activePane="bottomLeft" state="frozen"/>
      <selection pane="bottomLeft"/>
    </sheetView>
  </sheetViews>
  <sheetFormatPr defaultRowHeight="17.399999999999999" x14ac:dyDescent="0.4"/>
  <cols>
    <col min="1" max="1" width="3.69921875" style="1" customWidth="1"/>
    <col min="2" max="2" width="33" style="1" customWidth="1"/>
    <col min="3" max="3" width="10" style="1" customWidth="1"/>
    <col min="4" max="4" width="8.69921875" style="1" customWidth="1"/>
    <col min="5" max="5" width="24.69921875" style="12" customWidth="1"/>
    <col min="6" max="6" width="8.69921875" style="12" customWidth="1"/>
    <col min="7" max="7" width="28.5" style="12" customWidth="1"/>
    <col min="8" max="8" width="10" style="12" bestFit="1" customWidth="1"/>
    <col min="9" max="9" width="4.09765625" style="14" customWidth="1"/>
    <col min="10" max="10" width="34.69921875" style="12" customWidth="1"/>
    <col min="11" max="12" width="7.5" style="12" customWidth="1"/>
    <col min="13" max="13" width="7.296875" style="12" customWidth="1"/>
    <col min="14" max="14" width="7.8984375" style="70" customWidth="1"/>
    <col min="15" max="15" width="26.5" style="12" bestFit="1" customWidth="1"/>
    <col min="16" max="16" width="7" style="12" customWidth="1"/>
    <col min="17" max="17" width="117.296875" style="14" customWidth="1"/>
    <col min="18" max="18" width="8.09765625" style="34" customWidth="1"/>
    <col min="19" max="19" width="9.09765625" style="12" customWidth="1"/>
    <col min="20" max="21" width="8.09765625" style="32" customWidth="1"/>
    <col min="22" max="22" width="11.69921875" style="1" customWidth="1"/>
    <col min="23" max="23" width="10.09765625" style="1" bestFit="1" customWidth="1"/>
    <col min="24" max="24" width="33.19921875" style="2" bestFit="1" customWidth="1"/>
    <col min="25" max="25" width="12.69921875" style="2" customWidth="1"/>
    <col min="26" max="26" width="8.796875" style="2"/>
    <col min="27" max="27" width="16.59765625" style="2" customWidth="1"/>
    <col min="28" max="16384" width="8.796875" style="2"/>
  </cols>
  <sheetData>
    <row r="1" spans="2:25" ht="18" thickBot="1" x14ac:dyDescent="0.45"/>
    <row r="2" spans="2:25" ht="25.2" x14ac:dyDescent="0.4">
      <c r="B2" s="90" t="s">
        <v>265</v>
      </c>
      <c r="C2" s="75" t="str">
        <f>IF(COUNTIF(T8:T21,"F")&gt;0,"FAIL","PASS")</f>
        <v>PASS</v>
      </c>
      <c r="E2" s="199" t="s">
        <v>293</v>
      </c>
      <c r="F2" s="200">
        <f>SUM(V22:V59)</f>
        <v>0</v>
      </c>
      <c r="G2" s="201" t="s">
        <v>296</v>
      </c>
      <c r="H2" s="202">
        <f>SUM(V92:V184)</f>
        <v>0</v>
      </c>
      <c r="X2" s="194"/>
      <c r="Y2" s="195"/>
    </row>
    <row r="3" spans="2:25" ht="25.2" x14ac:dyDescent="0.4">
      <c r="B3" s="91" t="s">
        <v>263</v>
      </c>
      <c r="C3" s="76">
        <f>SUM(V22:V91)</f>
        <v>0</v>
      </c>
      <c r="E3" s="203" t="s">
        <v>294</v>
      </c>
      <c r="F3" s="110">
        <f>SUM(V60:V73)</f>
        <v>0</v>
      </c>
      <c r="G3" s="204" t="s">
        <v>297</v>
      </c>
      <c r="H3" s="205">
        <f>SUM(V185:V193,AA200,V219:V254,AA261,AA286)</f>
        <v>0</v>
      </c>
      <c r="X3" s="194"/>
      <c r="Y3" s="196"/>
    </row>
    <row r="4" spans="2:25" ht="25.2" x14ac:dyDescent="0.4">
      <c r="B4" s="91" t="s">
        <v>264</v>
      </c>
      <c r="C4" s="76">
        <f>SUM(V92:V193,AA200,V219:V250,AA261,AA286,V322:V348)</f>
        <v>0</v>
      </c>
      <c r="E4" s="206" t="s">
        <v>295</v>
      </c>
      <c r="F4" s="207">
        <f>SUM(V74:V91)</f>
        <v>0</v>
      </c>
      <c r="G4" s="208" t="s">
        <v>298</v>
      </c>
      <c r="H4" s="209">
        <f>SUM(V322:V348)</f>
        <v>0</v>
      </c>
      <c r="X4" s="194"/>
      <c r="Y4" s="196"/>
    </row>
    <row r="5" spans="2:25" ht="25.2" x14ac:dyDescent="0.4">
      <c r="B5" s="92" t="s">
        <v>266</v>
      </c>
      <c r="C5" s="89">
        <f>SUM(C3:C4)</f>
        <v>0</v>
      </c>
      <c r="X5" s="194"/>
      <c r="Y5" s="197"/>
    </row>
    <row r="6" spans="2:25" ht="36.6" thickBot="1" x14ac:dyDescent="0.45">
      <c r="B6" s="152" t="s">
        <v>267</v>
      </c>
      <c r="C6" s="153" t="str" cm="1">
        <f t="array" ref="C6">_xlfn.IFS(
  C5&gt;=95,"AAA",
  C5&gt;=90,"AA",
  C5&gt;=85,"A",
  C5&gt;=80,"BBB",
  C5&gt;=70,"BB",
  C5&gt;=65,"B",
  C5&gt;=60,"CCC",
  C5&gt;=55,"CC",
  C5&gt;=50,"C",
  TRUE,"D"
)</f>
        <v>D</v>
      </c>
      <c r="X6" s="194"/>
      <c r="Y6" s="198"/>
    </row>
    <row r="7" spans="2:25" ht="49.2" thickBot="1" x14ac:dyDescent="0.45">
      <c r="B7" s="154" t="s">
        <v>0</v>
      </c>
      <c r="C7" s="155" t="s">
        <v>246</v>
      </c>
      <c r="D7" s="156" t="s">
        <v>268</v>
      </c>
      <c r="E7" s="155" t="s">
        <v>1</v>
      </c>
      <c r="F7" s="156" t="s">
        <v>258</v>
      </c>
      <c r="G7" s="155" t="s">
        <v>2</v>
      </c>
      <c r="H7" s="156" t="s">
        <v>259</v>
      </c>
      <c r="I7" s="157"/>
      <c r="J7" s="155" t="s">
        <v>89</v>
      </c>
      <c r="K7" s="156" t="s">
        <v>252</v>
      </c>
      <c r="L7" s="156" t="s">
        <v>493</v>
      </c>
      <c r="M7" s="156" t="s">
        <v>494</v>
      </c>
      <c r="N7" s="156" t="s">
        <v>253</v>
      </c>
      <c r="O7" s="155" t="s">
        <v>262</v>
      </c>
      <c r="P7" s="156" t="s">
        <v>299</v>
      </c>
      <c r="Q7" s="155" t="s">
        <v>206</v>
      </c>
      <c r="R7" s="155" t="s">
        <v>3</v>
      </c>
      <c r="S7" s="158" t="s">
        <v>261</v>
      </c>
      <c r="T7" s="155" t="s">
        <v>207</v>
      </c>
      <c r="U7" s="155" t="s">
        <v>287</v>
      </c>
      <c r="V7" s="159" t="s">
        <v>208</v>
      </c>
      <c r="W7" s="160" t="s">
        <v>292</v>
      </c>
    </row>
    <row r="8" spans="2:25" ht="21" x14ac:dyDescent="0.4">
      <c r="B8" s="240" t="s">
        <v>302</v>
      </c>
      <c r="C8" s="49"/>
      <c r="D8" s="49"/>
      <c r="E8" s="242" t="s">
        <v>43</v>
      </c>
      <c r="F8" s="41"/>
      <c r="G8" s="59"/>
      <c r="H8" s="30"/>
      <c r="I8" s="111"/>
      <c r="J8" s="244" t="s">
        <v>4</v>
      </c>
      <c r="K8" s="47"/>
      <c r="L8" s="47"/>
      <c r="M8" s="47"/>
      <c r="N8" s="64"/>
      <c r="O8" s="19"/>
      <c r="P8" s="79"/>
      <c r="Q8" s="9" t="s">
        <v>46</v>
      </c>
      <c r="R8" s="33" t="s">
        <v>56</v>
      </c>
      <c r="S8" s="71" t="b">
        <v>0</v>
      </c>
      <c r="T8" s="246" t="str">
        <f>IF(S8=TRUE,"P",IF(S9=TRUE,"F",""))</f>
        <v/>
      </c>
      <c r="U8" s="129"/>
      <c r="V8" s="10"/>
      <c r="W8" s="10"/>
    </row>
    <row r="9" spans="2:25" ht="21" x14ac:dyDescent="0.4">
      <c r="B9" s="240"/>
      <c r="C9" s="49"/>
      <c r="D9" s="49"/>
      <c r="E9" s="242"/>
      <c r="F9" s="41"/>
      <c r="G9" s="15"/>
      <c r="H9" s="10"/>
      <c r="I9" s="112"/>
      <c r="J9" s="245"/>
      <c r="K9" s="46"/>
      <c r="L9" s="46"/>
      <c r="M9" s="46"/>
      <c r="N9" s="65"/>
      <c r="O9" s="17"/>
      <c r="P9" s="79"/>
      <c r="Q9" s="13" t="s">
        <v>47</v>
      </c>
      <c r="R9" s="31" t="s">
        <v>57</v>
      </c>
      <c r="S9" s="72" t="b">
        <v>0</v>
      </c>
      <c r="T9" s="247"/>
      <c r="U9" s="128"/>
      <c r="V9" s="3"/>
      <c r="W9" s="3"/>
    </row>
    <row r="10" spans="2:25" ht="21" x14ac:dyDescent="0.4">
      <c r="B10" s="240"/>
      <c r="C10" s="49"/>
      <c r="D10" s="49"/>
      <c r="E10" s="242"/>
      <c r="F10" s="41"/>
      <c r="G10" s="15"/>
      <c r="H10" s="8"/>
      <c r="I10" s="113"/>
      <c r="J10" s="248" t="s">
        <v>5</v>
      </c>
      <c r="K10" s="45"/>
      <c r="L10" s="45"/>
      <c r="M10" s="45"/>
      <c r="N10" s="66"/>
      <c r="O10" s="17"/>
      <c r="P10" s="79"/>
      <c r="Q10" s="13" t="s">
        <v>48</v>
      </c>
      <c r="R10" s="31" t="s">
        <v>56</v>
      </c>
      <c r="S10" s="72" t="b">
        <v>0</v>
      </c>
      <c r="T10" s="247" t="str">
        <f>IF(S10=TRUE,"P",IF(S11=TRUE,"F",""))</f>
        <v/>
      </c>
      <c r="U10" s="128"/>
      <c r="V10" s="3"/>
      <c r="W10" s="3"/>
    </row>
    <row r="11" spans="2:25" ht="21" x14ac:dyDescent="0.4">
      <c r="B11" s="240"/>
      <c r="C11" s="49"/>
      <c r="D11" s="49"/>
      <c r="E11" s="243"/>
      <c r="F11" s="42"/>
      <c r="G11" s="15"/>
      <c r="H11" s="10"/>
      <c r="I11" s="112"/>
      <c r="J11" s="245"/>
      <c r="K11" s="46"/>
      <c r="L11" s="46"/>
      <c r="M11" s="46"/>
      <c r="N11" s="65"/>
      <c r="O11" s="17"/>
      <c r="P11" s="79"/>
      <c r="Q11" s="13" t="s">
        <v>49</v>
      </c>
      <c r="R11" s="31" t="s">
        <v>57</v>
      </c>
      <c r="S11" s="72" t="b">
        <v>0</v>
      </c>
      <c r="T11" s="247"/>
      <c r="U11" s="128"/>
      <c r="V11" s="3"/>
      <c r="W11" s="3"/>
    </row>
    <row r="12" spans="2:25" ht="21" x14ac:dyDescent="0.4">
      <c r="B12" s="240"/>
      <c r="C12" s="49"/>
      <c r="D12" s="49"/>
      <c r="E12" s="249" t="s">
        <v>6</v>
      </c>
      <c r="F12" s="40"/>
      <c r="G12" s="15"/>
      <c r="H12" s="8"/>
      <c r="I12" s="113"/>
      <c r="J12" s="248" t="s">
        <v>7</v>
      </c>
      <c r="K12" s="45"/>
      <c r="L12" s="45"/>
      <c r="M12" s="45"/>
      <c r="N12" s="66"/>
      <c r="O12" s="17"/>
      <c r="P12" s="79"/>
      <c r="Q12" s="13" t="s">
        <v>50</v>
      </c>
      <c r="R12" s="31" t="s">
        <v>56</v>
      </c>
      <c r="S12" s="72" t="b">
        <v>0</v>
      </c>
      <c r="T12" s="247" t="str">
        <f>IF(S12=TRUE,"P",IF(S13=TRUE,"F",""))</f>
        <v/>
      </c>
      <c r="U12" s="128"/>
      <c r="V12" s="3"/>
      <c r="W12" s="3"/>
    </row>
    <row r="13" spans="2:25" ht="21" x14ac:dyDescent="0.4">
      <c r="B13" s="240"/>
      <c r="C13" s="49"/>
      <c r="D13" s="49"/>
      <c r="E13" s="243"/>
      <c r="F13" s="42"/>
      <c r="G13" s="15"/>
      <c r="H13" s="10"/>
      <c r="I13" s="112"/>
      <c r="J13" s="245"/>
      <c r="K13" s="46"/>
      <c r="L13" s="46"/>
      <c r="M13" s="46"/>
      <c r="N13" s="65"/>
      <c r="O13" s="17"/>
      <c r="P13" s="79"/>
      <c r="Q13" s="13" t="s">
        <v>51</v>
      </c>
      <c r="R13" s="31" t="s">
        <v>57</v>
      </c>
      <c r="S13" s="72" t="b">
        <v>0</v>
      </c>
      <c r="T13" s="247"/>
      <c r="U13" s="128"/>
      <c r="V13" s="3"/>
      <c r="W13" s="3"/>
    </row>
    <row r="14" spans="2:25" ht="21" x14ac:dyDescent="0.4">
      <c r="B14" s="240"/>
      <c r="C14" s="49"/>
      <c r="D14" s="49"/>
      <c r="E14" s="249" t="s">
        <v>44</v>
      </c>
      <c r="F14" s="40"/>
      <c r="G14" s="15"/>
      <c r="H14" s="8"/>
      <c r="I14" s="113"/>
      <c r="J14" s="248" t="s">
        <v>9</v>
      </c>
      <c r="K14" s="45"/>
      <c r="L14" s="45"/>
      <c r="M14" s="45"/>
      <c r="N14" s="66"/>
      <c r="O14" s="17"/>
      <c r="P14" s="79"/>
      <c r="Q14" s="13" t="s">
        <v>53</v>
      </c>
      <c r="R14" s="31" t="s">
        <v>56</v>
      </c>
      <c r="S14" s="72" t="b">
        <v>0</v>
      </c>
      <c r="T14" s="247" t="str">
        <f>IF(S14=TRUE,"P",IF(S15=TRUE,"F",""))</f>
        <v/>
      </c>
      <c r="U14" s="128"/>
      <c r="V14" s="3"/>
      <c r="W14" s="3"/>
    </row>
    <row r="15" spans="2:25" ht="21" x14ac:dyDescent="0.4">
      <c r="B15" s="240"/>
      <c r="C15" s="49"/>
      <c r="D15" s="49"/>
      <c r="E15" s="242"/>
      <c r="F15" s="41"/>
      <c r="G15" s="15"/>
      <c r="H15" s="10"/>
      <c r="I15" s="112"/>
      <c r="J15" s="245"/>
      <c r="K15" s="46"/>
      <c r="L15" s="46"/>
      <c r="M15" s="46"/>
      <c r="N15" s="65"/>
      <c r="O15" s="17"/>
      <c r="P15" s="79"/>
      <c r="Q15" s="13" t="s">
        <v>52</v>
      </c>
      <c r="R15" s="31" t="s">
        <v>57</v>
      </c>
      <c r="S15" s="72" t="b">
        <v>0</v>
      </c>
      <c r="T15" s="247"/>
      <c r="U15" s="128"/>
      <c r="V15" s="3"/>
      <c r="W15" s="3"/>
    </row>
    <row r="16" spans="2:25" ht="21" x14ac:dyDescent="0.4">
      <c r="B16" s="240"/>
      <c r="C16" s="49"/>
      <c r="D16" s="49"/>
      <c r="E16" s="242"/>
      <c r="F16" s="41"/>
      <c r="G16" s="15"/>
      <c r="H16" s="8"/>
      <c r="I16" s="113"/>
      <c r="J16" s="248" t="s">
        <v>10</v>
      </c>
      <c r="K16" s="45"/>
      <c r="L16" s="45"/>
      <c r="M16" s="45"/>
      <c r="N16" s="66"/>
      <c r="O16" s="17"/>
      <c r="P16" s="222"/>
      <c r="Q16" s="13" t="s">
        <v>54</v>
      </c>
      <c r="R16" s="223" t="s">
        <v>56</v>
      </c>
      <c r="S16" s="72" t="b">
        <v>0</v>
      </c>
      <c r="T16" s="247" t="str">
        <f>IF(S16=TRUE,"P",IF(S17=TRUE,"F",""))</f>
        <v/>
      </c>
      <c r="U16" s="128"/>
      <c r="V16" s="3"/>
      <c r="W16" s="3"/>
    </row>
    <row r="17" spans="2:23" ht="21" x14ac:dyDescent="0.4">
      <c r="B17" s="240"/>
      <c r="C17" s="49"/>
      <c r="D17" s="49"/>
      <c r="E17" s="243"/>
      <c r="F17" s="42"/>
      <c r="G17" s="15"/>
      <c r="H17" s="10"/>
      <c r="I17" s="112"/>
      <c r="J17" s="245"/>
      <c r="K17" s="46"/>
      <c r="L17" s="46"/>
      <c r="M17" s="46"/>
      <c r="N17" s="65"/>
      <c r="O17" s="17"/>
      <c r="P17" s="222"/>
      <c r="Q17" s="13" t="s">
        <v>55</v>
      </c>
      <c r="R17" s="223" t="s">
        <v>57</v>
      </c>
      <c r="S17" s="72" t="b">
        <v>0</v>
      </c>
      <c r="T17" s="247"/>
      <c r="U17" s="128"/>
      <c r="V17" s="3"/>
      <c r="W17" s="3"/>
    </row>
    <row r="18" spans="2:23" ht="21" x14ac:dyDescent="0.4">
      <c r="B18" s="240"/>
      <c r="C18" s="49"/>
      <c r="D18" s="49"/>
      <c r="E18" s="250" t="s">
        <v>178</v>
      </c>
      <c r="F18" s="43"/>
      <c r="G18" s="15"/>
      <c r="H18" s="8"/>
      <c r="I18" s="113"/>
      <c r="J18" s="248" t="s">
        <v>11</v>
      </c>
      <c r="K18" s="45"/>
      <c r="L18" s="45"/>
      <c r="M18" s="45"/>
      <c r="N18" s="66"/>
      <c r="O18" s="17"/>
      <c r="P18" s="222"/>
      <c r="Q18" s="13" t="s">
        <v>58</v>
      </c>
      <c r="R18" s="223" t="s">
        <v>56</v>
      </c>
      <c r="S18" s="72" t="b">
        <v>0</v>
      </c>
      <c r="T18" s="247" t="str">
        <f>IF(S18=TRUE,"P",IF(S19=TRUE,"F",""))</f>
        <v/>
      </c>
      <c r="U18" s="128"/>
      <c r="V18" s="3"/>
      <c r="W18" s="3"/>
    </row>
    <row r="19" spans="2:23" ht="21" x14ac:dyDescent="0.4">
      <c r="B19" s="240"/>
      <c r="C19" s="49"/>
      <c r="D19" s="49"/>
      <c r="E19" s="242"/>
      <c r="F19" s="41"/>
      <c r="G19" s="16"/>
      <c r="H19" s="30"/>
      <c r="I19" s="111"/>
      <c r="J19" s="245"/>
      <c r="K19" s="47"/>
      <c r="L19" s="47"/>
      <c r="M19" s="47"/>
      <c r="N19" s="64"/>
      <c r="O19" s="18"/>
      <c r="P19" s="79"/>
      <c r="Q19" s="224" t="s">
        <v>59</v>
      </c>
      <c r="R19" s="31" t="s">
        <v>57</v>
      </c>
      <c r="S19" s="73" t="b">
        <v>0</v>
      </c>
      <c r="T19" s="247"/>
      <c r="U19" s="131"/>
      <c r="V19" s="8"/>
      <c r="W19" s="8"/>
    </row>
    <row r="20" spans="2:23" ht="21" x14ac:dyDescent="0.4">
      <c r="B20" s="240"/>
      <c r="C20" s="49"/>
      <c r="D20" s="49"/>
      <c r="E20" s="242"/>
      <c r="F20" s="41"/>
      <c r="G20" s="15"/>
      <c r="H20" s="8"/>
      <c r="I20" s="113"/>
      <c r="J20" s="248" t="s">
        <v>45</v>
      </c>
      <c r="K20" s="45"/>
      <c r="L20" s="45"/>
      <c r="M20" s="45"/>
      <c r="N20" s="66"/>
      <c r="O20" s="17"/>
      <c r="P20" s="79"/>
      <c r="Q20" s="13" t="s">
        <v>60</v>
      </c>
      <c r="R20" s="31" t="s">
        <v>56</v>
      </c>
      <c r="S20" s="72" t="b">
        <v>0</v>
      </c>
      <c r="T20" s="247" t="str">
        <f>IF(S20=TRUE,"P",IF(S21=TRUE,"F",""))</f>
        <v/>
      </c>
      <c r="U20" s="128"/>
      <c r="V20" s="3"/>
      <c r="W20" s="3"/>
    </row>
    <row r="21" spans="2:23" ht="21.6" thickBot="1" x14ac:dyDescent="0.45">
      <c r="B21" s="241"/>
      <c r="C21" s="50"/>
      <c r="D21" s="50"/>
      <c r="E21" s="251"/>
      <c r="F21" s="44"/>
      <c r="G21" s="35"/>
      <c r="H21" s="36"/>
      <c r="I21" s="114"/>
      <c r="J21" s="252"/>
      <c r="K21" s="48"/>
      <c r="L21" s="48"/>
      <c r="M21" s="48"/>
      <c r="N21" s="67"/>
      <c r="O21" s="37"/>
      <c r="P21" s="80"/>
      <c r="Q21" s="193" t="s">
        <v>61</v>
      </c>
      <c r="R21" s="38" t="s">
        <v>57</v>
      </c>
      <c r="S21" s="74" t="b">
        <v>0</v>
      </c>
      <c r="T21" s="253"/>
      <c r="U21" s="130"/>
      <c r="V21" s="39"/>
      <c r="W21" s="39"/>
    </row>
    <row r="22" spans="2:23" ht="21" x14ac:dyDescent="0.4">
      <c r="B22" s="254" t="s">
        <v>301</v>
      </c>
      <c r="C22" s="161">
        <v>40</v>
      </c>
      <c r="D22" s="162">
        <f>C22/100</f>
        <v>0.4</v>
      </c>
      <c r="E22" s="257" t="s">
        <v>97</v>
      </c>
      <c r="F22" s="163">
        <f>D22*0.229166666666667</f>
        <v>9.1666666666666799E-2</v>
      </c>
      <c r="G22" s="257" t="s">
        <v>248</v>
      </c>
      <c r="H22" s="163"/>
      <c r="I22" s="258" t="s">
        <v>255</v>
      </c>
      <c r="J22" s="261" t="s">
        <v>250</v>
      </c>
      <c r="K22" s="164">
        <f>F22*0.212389380530973</f>
        <v>1.9469026548672552E-2</v>
      </c>
      <c r="L22" s="233" t="b">
        <v>0</v>
      </c>
      <c r="M22" s="164">
        <f>IF(L22=TRUE, K22*($F$22/$N$54), 0)</f>
        <v>0</v>
      </c>
      <c r="N22" s="165"/>
      <c r="O22" s="166"/>
      <c r="P22" s="167"/>
      <c r="Q22" s="168" t="s">
        <v>62</v>
      </c>
      <c r="R22" s="169">
        <v>5</v>
      </c>
      <c r="S22" s="170" t="b">
        <v>0</v>
      </c>
      <c r="T22" s="171" cm="1">
        <f t="array" ref="T22">SUMPRODUCT(R22:R27,--S22:S27)</f>
        <v>0</v>
      </c>
      <c r="U22" s="171"/>
      <c r="V22" s="219">
        <f>T22/R22*M22*100</f>
        <v>0</v>
      </c>
      <c r="W22" s="172"/>
    </row>
    <row r="23" spans="2:23" ht="21" x14ac:dyDescent="0.4">
      <c r="B23" s="255"/>
      <c r="C23" s="49"/>
      <c r="D23" s="49"/>
      <c r="E23" s="242"/>
      <c r="F23" s="52"/>
      <c r="G23" s="242"/>
      <c r="H23" s="173"/>
      <c r="I23" s="259"/>
      <c r="J23" s="244"/>
      <c r="K23" s="41"/>
      <c r="L23" s="41"/>
      <c r="M23" s="41"/>
      <c r="N23" s="62"/>
      <c r="O23" s="19"/>
      <c r="P23" s="148"/>
      <c r="Q23" s="9" t="s">
        <v>63</v>
      </c>
      <c r="R23" s="33">
        <v>4</v>
      </c>
      <c r="S23" s="29" t="b">
        <v>0</v>
      </c>
      <c r="T23" s="57"/>
      <c r="U23" s="57"/>
      <c r="V23" s="210"/>
      <c r="W23" s="4"/>
    </row>
    <row r="24" spans="2:23" ht="21" x14ac:dyDescent="0.4">
      <c r="B24" s="255"/>
      <c r="C24" s="49"/>
      <c r="D24" s="49"/>
      <c r="E24" s="242"/>
      <c r="F24" s="52"/>
      <c r="G24" s="242"/>
      <c r="H24" s="173"/>
      <c r="I24" s="259"/>
      <c r="J24" s="244"/>
      <c r="K24" s="41"/>
      <c r="L24" s="41"/>
      <c r="M24" s="41"/>
      <c r="N24" s="62"/>
      <c r="O24" s="19"/>
      <c r="P24" s="148"/>
      <c r="Q24" s="9" t="s">
        <v>64</v>
      </c>
      <c r="R24" s="33">
        <v>3</v>
      </c>
      <c r="S24" s="29" t="b">
        <v>0</v>
      </c>
      <c r="T24" s="57"/>
      <c r="U24" s="57"/>
      <c r="V24" s="210"/>
      <c r="W24" s="4"/>
    </row>
    <row r="25" spans="2:23" ht="21" x14ac:dyDescent="0.4">
      <c r="B25" s="255"/>
      <c r="C25" s="49"/>
      <c r="D25" s="49"/>
      <c r="E25" s="242"/>
      <c r="F25" s="52"/>
      <c r="G25" s="242"/>
      <c r="H25" s="173"/>
      <c r="I25" s="259"/>
      <c r="J25" s="244"/>
      <c r="K25" s="41"/>
      <c r="L25" s="41"/>
      <c r="M25" s="41"/>
      <c r="N25" s="62"/>
      <c r="O25" s="19"/>
      <c r="P25" s="148"/>
      <c r="Q25" s="9" t="s">
        <v>65</v>
      </c>
      <c r="R25" s="33">
        <v>2</v>
      </c>
      <c r="S25" s="29" t="b">
        <v>0</v>
      </c>
      <c r="T25" s="57"/>
      <c r="U25" s="57"/>
      <c r="V25" s="210"/>
      <c r="W25" s="4"/>
    </row>
    <row r="26" spans="2:23" ht="21" x14ac:dyDescent="0.4">
      <c r="B26" s="255"/>
      <c r="C26" s="49"/>
      <c r="D26" s="49"/>
      <c r="E26" s="242"/>
      <c r="F26" s="52"/>
      <c r="G26" s="242"/>
      <c r="H26" s="173"/>
      <c r="I26" s="259"/>
      <c r="J26" s="244"/>
      <c r="K26" s="41"/>
      <c r="L26" s="41"/>
      <c r="M26" s="41"/>
      <c r="N26" s="62"/>
      <c r="O26" s="19"/>
      <c r="P26" s="148"/>
      <c r="Q26" s="9" t="s">
        <v>66</v>
      </c>
      <c r="R26" s="33">
        <v>1</v>
      </c>
      <c r="S26" s="29" t="b">
        <v>0</v>
      </c>
      <c r="T26" s="57"/>
      <c r="U26" s="57"/>
      <c r="V26" s="210"/>
      <c r="W26" s="4"/>
    </row>
    <row r="27" spans="2:23" ht="21.6" thickBot="1" x14ac:dyDescent="0.45">
      <c r="B27" s="255"/>
      <c r="C27" s="49"/>
      <c r="D27" s="49"/>
      <c r="E27" s="242"/>
      <c r="F27" s="52"/>
      <c r="G27" s="242"/>
      <c r="H27" s="173"/>
      <c r="I27" s="259"/>
      <c r="J27" s="245"/>
      <c r="K27" s="42"/>
      <c r="L27" s="42"/>
      <c r="M27" s="42"/>
      <c r="N27" s="68"/>
      <c r="O27" s="19"/>
      <c r="P27" s="148"/>
      <c r="Q27" s="9" t="s">
        <v>67</v>
      </c>
      <c r="R27" s="33">
        <v>0</v>
      </c>
      <c r="S27" s="29" t="b">
        <v>0</v>
      </c>
      <c r="T27" s="58"/>
      <c r="U27" s="58"/>
      <c r="V27" s="211"/>
      <c r="W27" s="4"/>
    </row>
    <row r="28" spans="2:23" ht="21" x14ac:dyDescent="0.4">
      <c r="B28" s="255"/>
      <c r="C28" s="49"/>
      <c r="D28" s="49"/>
      <c r="E28" s="242"/>
      <c r="F28" s="52"/>
      <c r="G28" s="242"/>
      <c r="H28" s="173"/>
      <c r="I28" s="259"/>
      <c r="J28" s="248" t="s">
        <v>12</v>
      </c>
      <c r="K28" s="107">
        <f>F22*0.126843657817109</f>
        <v>1.1627335299901674E-2</v>
      </c>
      <c r="L28" s="234" t="b">
        <v>1</v>
      </c>
      <c r="M28" s="164">
        <f>IF(L28=TRUE, K28*$F$22/$N$54, 0)</f>
        <v>1.9513201320132033E-2</v>
      </c>
      <c r="N28" s="62"/>
      <c r="O28" s="19"/>
      <c r="P28" s="148"/>
      <c r="Q28" s="9" t="s">
        <v>68</v>
      </c>
      <c r="R28" s="33">
        <v>5</v>
      </c>
      <c r="S28" s="29" t="b">
        <v>0</v>
      </c>
      <c r="T28" s="55" cm="1">
        <f t="array" ref="T28">SUMPRODUCT(R28:R33,--S28:S33)</f>
        <v>0</v>
      </c>
      <c r="U28" s="56"/>
      <c r="V28" s="212">
        <f>T28/R28*M28*100</f>
        <v>0</v>
      </c>
      <c r="W28" s="4"/>
    </row>
    <row r="29" spans="2:23" ht="21" x14ac:dyDescent="0.4">
      <c r="B29" s="255"/>
      <c r="C29" s="49"/>
      <c r="D29" s="49"/>
      <c r="E29" s="242"/>
      <c r="F29" s="52"/>
      <c r="G29" s="242"/>
      <c r="H29" s="173"/>
      <c r="I29" s="259"/>
      <c r="J29" s="244"/>
      <c r="K29" s="41"/>
      <c r="L29" s="41"/>
      <c r="M29" s="41"/>
      <c r="N29" s="62"/>
      <c r="O29" s="19"/>
      <c r="P29" s="148"/>
      <c r="Q29" s="9" t="s">
        <v>69</v>
      </c>
      <c r="R29" s="33">
        <v>4</v>
      </c>
      <c r="S29" s="29" t="b">
        <v>0</v>
      </c>
      <c r="T29" s="57"/>
      <c r="U29" s="57"/>
      <c r="V29" s="210"/>
      <c r="W29" s="4"/>
    </row>
    <row r="30" spans="2:23" ht="21" x14ac:dyDescent="0.4">
      <c r="B30" s="255"/>
      <c r="C30" s="49"/>
      <c r="D30" s="49"/>
      <c r="E30" s="242"/>
      <c r="F30" s="52"/>
      <c r="G30" s="242"/>
      <c r="H30" s="173"/>
      <c r="I30" s="259"/>
      <c r="J30" s="244"/>
      <c r="K30" s="41"/>
      <c r="L30" s="41"/>
      <c r="M30" s="41"/>
      <c r="N30" s="62"/>
      <c r="O30" s="19"/>
      <c r="P30" s="148"/>
      <c r="Q30" s="9" t="s">
        <v>70</v>
      </c>
      <c r="R30" s="33">
        <v>3</v>
      </c>
      <c r="S30" s="29" t="b">
        <v>0</v>
      </c>
      <c r="T30" s="57"/>
      <c r="U30" s="57"/>
      <c r="V30" s="210"/>
      <c r="W30" s="4"/>
    </row>
    <row r="31" spans="2:23" ht="21" x14ac:dyDescent="0.4">
      <c r="B31" s="255"/>
      <c r="C31" s="49"/>
      <c r="D31" s="49"/>
      <c r="E31" s="242"/>
      <c r="F31" s="52"/>
      <c r="G31" s="242"/>
      <c r="H31" s="173"/>
      <c r="I31" s="259"/>
      <c r="J31" s="244"/>
      <c r="K31" s="41"/>
      <c r="L31" s="41"/>
      <c r="M31" s="41"/>
      <c r="N31" s="62"/>
      <c r="O31" s="19"/>
      <c r="P31" s="148"/>
      <c r="Q31" s="9" t="s">
        <v>71</v>
      </c>
      <c r="R31" s="33">
        <v>2</v>
      </c>
      <c r="S31" s="29" t="b">
        <v>0</v>
      </c>
      <c r="T31" s="57"/>
      <c r="U31" s="57"/>
      <c r="V31" s="210"/>
      <c r="W31" s="4"/>
    </row>
    <row r="32" spans="2:23" ht="21" x14ac:dyDescent="0.4">
      <c r="B32" s="255"/>
      <c r="C32" s="49"/>
      <c r="D32" s="49"/>
      <c r="E32" s="242"/>
      <c r="F32" s="52"/>
      <c r="G32" s="242"/>
      <c r="H32" s="173"/>
      <c r="I32" s="259"/>
      <c r="J32" s="244"/>
      <c r="K32" s="41"/>
      <c r="L32" s="41"/>
      <c r="M32" s="41"/>
      <c r="N32" s="62"/>
      <c r="O32" s="19"/>
      <c r="P32" s="148"/>
      <c r="Q32" s="9" t="s">
        <v>72</v>
      </c>
      <c r="R32" s="33">
        <v>1</v>
      </c>
      <c r="S32" s="29" t="b">
        <v>0</v>
      </c>
      <c r="T32" s="57"/>
      <c r="U32" s="57"/>
      <c r="V32" s="210"/>
      <c r="W32" s="4"/>
    </row>
    <row r="33" spans="2:23" ht="21.6" thickBot="1" x14ac:dyDescent="0.45">
      <c r="B33" s="255"/>
      <c r="C33" s="49"/>
      <c r="D33" s="49"/>
      <c r="E33" s="242"/>
      <c r="F33" s="52"/>
      <c r="G33" s="242"/>
      <c r="H33" s="173"/>
      <c r="I33" s="260"/>
      <c r="J33" s="245"/>
      <c r="K33" s="42"/>
      <c r="L33" s="42"/>
      <c r="M33" s="42"/>
      <c r="N33" s="68"/>
      <c r="O33" s="19"/>
      <c r="P33" s="148"/>
      <c r="Q33" s="9" t="s">
        <v>73</v>
      </c>
      <c r="R33" s="33">
        <v>0</v>
      </c>
      <c r="S33" s="29" t="b">
        <v>0</v>
      </c>
      <c r="T33" s="58"/>
      <c r="U33" s="58"/>
      <c r="V33" s="211"/>
      <c r="W33" s="4"/>
    </row>
    <row r="34" spans="2:23" ht="21" x14ac:dyDescent="0.4">
      <c r="B34" s="255"/>
      <c r="C34" s="49"/>
      <c r="D34" s="49"/>
      <c r="E34" s="242"/>
      <c r="F34" s="52"/>
      <c r="G34" s="242"/>
      <c r="H34" s="173"/>
      <c r="I34" s="115"/>
      <c r="J34" s="262" t="s">
        <v>13</v>
      </c>
      <c r="K34" s="41">
        <f>F22*0.15929203539823</f>
        <v>1.4601769911504438E-2</v>
      </c>
      <c r="L34" s="235" t="b">
        <v>1</v>
      </c>
      <c r="M34" s="164">
        <f>IF(L34=TRUE, K34*$F$22/$N$54, 0)</f>
        <v>2.4504950495049548E-2</v>
      </c>
      <c r="N34" s="62"/>
      <c r="O34" s="17"/>
      <c r="P34" s="148"/>
      <c r="Q34" s="13" t="s">
        <v>74</v>
      </c>
      <c r="R34" s="31">
        <v>4</v>
      </c>
      <c r="S34" s="29" t="b">
        <v>0</v>
      </c>
      <c r="T34" s="55" cm="1">
        <f t="array" ref="T34">SUMPRODUCT(R34:R38,--S34:S38)</f>
        <v>0</v>
      </c>
      <c r="U34" s="56"/>
      <c r="V34" s="212">
        <f>T34/R34*M34*100</f>
        <v>0</v>
      </c>
      <c r="W34" s="6"/>
    </row>
    <row r="35" spans="2:23" ht="21" x14ac:dyDescent="0.4">
      <c r="B35" s="255"/>
      <c r="C35" s="49"/>
      <c r="D35" s="49"/>
      <c r="E35" s="242"/>
      <c r="F35" s="52"/>
      <c r="G35" s="242"/>
      <c r="H35" s="173"/>
      <c r="I35" s="116"/>
      <c r="J35" s="263"/>
      <c r="K35" s="41"/>
      <c r="L35" s="41"/>
      <c r="M35" s="41"/>
      <c r="N35" s="62"/>
      <c r="O35" s="17"/>
      <c r="P35" s="148"/>
      <c r="Q35" s="13" t="s">
        <v>75</v>
      </c>
      <c r="R35" s="31">
        <v>3</v>
      </c>
      <c r="S35" s="29" t="b">
        <v>0</v>
      </c>
      <c r="T35" s="57"/>
      <c r="U35" s="57"/>
      <c r="V35" s="210"/>
      <c r="W35" s="6"/>
    </row>
    <row r="36" spans="2:23" ht="21" x14ac:dyDescent="0.4">
      <c r="B36" s="255"/>
      <c r="C36" s="49"/>
      <c r="D36" s="49"/>
      <c r="E36" s="242"/>
      <c r="F36" s="52"/>
      <c r="G36" s="242"/>
      <c r="H36" s="173"/>
      <c r="I36" s="116"/>
      <c r="J36" s="263"/>
      <c r="K36" s="41"/>
      <c r="L36" s="41"/>
      <c r="M36" s="41"/>
      <c r="N36" s="62"/>
      <c r="O36" s="17"/>
      <c r="P36" s="148"/>
      <c r="Q36" s="13" t="s">
        <v>76</v>
      </c>
      <c r="R36" s="31">
        <v>2</v>
      </c>
      <c r="S36" s="29" t="b">
        <v>0</v>
      </c>
      <c r="T36" s="57"/>
      <c r="U36" s="57"/>
      <c r="V36" s="210"/>
      <c r="W36" s="6"/>
    </row>
    <row r="37" spans="2:23" ht="21" x14ac:dyDescent="0.4">
      <c r="B37" s="255"/>
      <c r="C37" s="49"/>
      <c r="D37" s="49"/>
      <c r="E37" s="242"/>
      <c r="F37" s="52"/>
      <c r="G37" s="242"/>
      <c r="H37" s="173"/>
      <c r="I37" s="116"/>
      <c r="J37" s="263"/>
      <c r="K37" s="41"/>
      <c r="L37" s="41"/>
      <c r="M37" s="41"/>
      <c r="N37" s="62"/>
      <c r="O37" s="17"/>
      <c r="P37" s="148"/>
      <c r="Q37" s="13" t="s">
        <v>77</v>
      </c>
      <c r="R37" s="31">
        <v>1</v>
      </c>
      <c r="S37" s="29" t="b">
        <v>0</v>
      </c>
      <c r="T37" s="57"/>
      <c r="U37" s="57"/>
      <c r="V37" s="210"/>
      <c r="W37" s="6"/>
    </row>
    <row r="38" spans="2:23" ht="21.6" thickBot="1" x14ac:dyDescent="0.45">
      <c r="B38" s="255"/>
      <c r="C38" s="49"/>
      <c r="D38" s="49"/>
      <c r="E38" s="242"/>
      <c r="F38" s="52"/>
      <c r="G38" s="242"/>
      <c r="H38" s="173"/>
      <c r="I38" s="117"/>
      <c r="J38" s="264"/>
      <c r="K38" s="42"/>
      <c r="L38" s="42"/>
      <c r="M38" s="42"/>
      <c r="N38" s="68"/>
      <c r="O38" s="17"/>
      <c r="P38" s="148"/>
      <c r="Q38" s="13" t="s">
        <v>78</v>
      </c>
      <c r="R38" s="31">
        <v>0</v>
      </c>
      <c r="S38" s="29" t="b">
        <v>0</v>
      </c>
      <c r="T38" s="58"/>
      <c r="U38" s="58"/>
      <c r="V38" s="211"/>
      <c r="W38" s="6"/>
    </row>
    <row r="39" spans="2:23" ht="21" x14ac:dyDescent="0.4">
      <c r="B39" s="255"/>
      <c r="C39" s="49"/>
      <c r="D39" s="49"/>
      <c r="E39" s="242"/>
      <c r="F39" s="52"/>
      <c r="G39" s="242"/>
      <c r="H39" s="173"/>
      <c r="I39" s="115"/>
      <c r="J39" s="262" t="s">
        <v>14</v>
      </c>
      <c r="K39" s="41">
        <f>F22*0.135693215339233</f>
        <v>1.2438544739429711E-2</v>
      </c>
      <c r="L39" s="235" t="b">
        <v>1</v>
      </c>
      <c r="M39" s="164">
        <f>IF(L39=TRUE, K39*$F$22/$N$54, 0)</f>
        <v>2.0874587458745916E-2</v>
      </c>
      <c r="N39" s="62"/>
      <c r="O39" s="17"/>
      <c r="P39" s="148"/>
      <c r="Q39" s="13" t="s">
        <v>79</v>
      </c>
      <c r="R39" s="31">
        <v>4</v>
      </c>
      <c r="S39" s="29" t="b">
        <v>0</v>
      </c>
      <c r="T39" s="55" cm="1">
        <f t="array" ref="T39">SUMPRODUCT(R39:R43,--S39:S43)</f>
        <v>0</v>
      </c>
      <c r="U39" s="56"/>
      <c r="V39" s="212">
        <f>T39/R39*M39*100</f>
        <v>0</v>
      </c>
      <c r="W39" s="6"/>
    </row>
    <row r="40" spans="2:23" ht="21" x14ac:dyDescent="0.4">
      <c r="B40" s="255"/>
      <c r="C40" s="49"/>
      <c r="D40" s="49"/>
      <c r="E40" s="242"/>
      <c r="F40" s="52"/>
      <c r="G40" s="242"/>
      <c r="H40" s="173"/>
      <c r="I40" s="116"/>
      <c r="J40" s="263"/>
      <c r="K40" s="41"/>
      <c r="L40" s="41"/>
      <c r="M40" s="41"/>
      <c r="N40" s="62"/>
      <c r="O40" s="17"/>
      <c r="P40" s="148"/>
      <c r="Q40" s="13" t="s">
        <v>80</v>
      </c>
      <c r="R40" s="31">
        <v>3</v>
      </c>
      <c r="S40" s="29" t="b">
        <v>0</v>
      </c>
      <c r="T40" s="57"/>
      <c r="U40" s="57"/>
      <c r="V40" s="210"/>
      <c r="W40" s="6"/>
    </row>
    <row r="41" spans="2:23" ht="21" x14ac:dyDescent="0.4">
      <c r="B41" s="255"/>
      <c r="C41" s="49"/>
      <c r="D41" s="49"/>
      <c r="E41" s="242"/>
      <c r="F41" s="52"/>
      <c r="G41" s="242"/>
      <c r="H41" s="173"/>
      <c r="I41" s="116"/>
      <c r="J41" s="263"/>
      <c r="K41" s="41"/>
      <c r="L41" s="41"/>
      <c r="M41" s="41"/>
      <c r="N41" s="62"/>
      <c r="O41" s="17"/>
      <c r="P41" s="148"/>
      <c r="Q41" s="13" t="s">
        <v>81</v>
      </c>
      <c r="R41" s="31">
        <v>2</v>
      </c>
      <c r="S41" s="29" t="b">
        <v>0</v>
      </c>
      <c r="T41" s="57"/>
      <c r="U41" s="57"/>
      <c r="V41" s="210"/>
      <c r="W41" s="6"/>
    </row>
    <row r="42" spans="2:23" ht="21" x14ac:dyDescent="0.4">
      <c r="B42" s="255"/>
      <c r="C42" s="49"/>
      <c r="D42" s="49"/>
      <c r="E42" s="242"/>
      <c r="F42" s="52"/>
      <c r="G42" s="242"/>
      <c r="H42" s="173"/>
      <c r="I42" s="116"/>
      <c r="J42" s="263"/>
      <c r="K42" s="41"/>
      <c r="L42" s="41"/>
      <c r="M42" s="41"/>
      <c r="N42" s="62"/>
      <c r="O42" s="17"/>
      <c r="P42" s="148"/>
      <c r="Q42" s="13" t="s">
        <v>82</v>
      </c>
      <c r="R42" s="31">
        <v>1</v>
      </c>
      <c r="S42" s="29" t="b">
        <v>0</v>
      </c>
      <c r="T42" s="57"/>
      <c r="U42" s="57"/>
      <c r="V42" s="210"/>
      <c r="W42" s="6"/>
    </row>
    <row r="43" spans="2:23" ht="21.6" thickBot="1" x14ac:dyDescent="0.45">
      <c r="B43" s="255"/>
      <c r="C43" s="49"/>
      <c r="D43" s="49"/>
      <c r="E43" s="242"/>
      <c r="F43" s="52"/>
      <c r="G43" s="243"/>
      <c r="H43" s="173"/>
      <c r="I43" s="117"/>
      <c r="J43" s="264"/>
      <c r="K43" s="42"/>
      <c r="L43" s="42"/>
      <c r="M43" s="42"/>
      <c r="N43" s="68"/>
      <c r="O43" s="17"/>
      <c r="P43" s="148"/>
      <c r="Q43" s="13" t="s">
        <v>83</v>
      </c>
      <c r="R43" s="31">
        <v>0</v>
      </c>
      <c r="S43" s="29" t="b">
        <v>0</v>
      </c>
      <c r="T43" s="58"/>
      <c r="U43" s="58"/>
      <c r="V43" s="211"/>
      <c r="W43" s="6"/>
    </row>
    <row r="44" spans="2:23" ht="21" x14ac:dyDescent="0.4">
      <c r="B44" s="255"/>
      <c r="C44" s="49"/>
      <c r="D44" s="49"/>
      <c r="E44" s="242"/>
      <c r="F44" s="52"/>
      <c r="G44" s="242" t="s">
        <v>247</v>
      </c>
      <c r="H44" s="94"/>
      <c r="I44" s="265" t="s">
        <v>249</v>
      </c>
      <c r="J44" s="270" t="s">
        <v>251</v>
      </c>
      <c r="K44" s="41">
        <f>F22*0.191740412979351</f>
        <v>1.7576204523107198E-2</v>
      </c>
      <c r="L44" s="235" t="b">
        <v>0</v>
      </c>
      <c r="M44" s="164">
        <f>IF(L44=TRUE, K44*$F$22/$N$54, 0)</f>
        <v>0</v>
      </c>
      <c r="N44" s="142"/>
      <c r="O44" s="267" t="s">
        <v>15</v>
      </c>
      <c r="P44" s="81">
        <f>M44*0.5</f>
        <v>0</v>
      </c>
      <c r="Q44" s="13" t="s">
        <v>275</v>
      </c>
      <c r="R44" s="31">
        <v>4</v>
      </c>
      <c r="S44" s="29" t="b">
        <v>0</v>
      </c>
      <c r="T44" s="55" cm="1">
        <f t="array" ref="T44">SUMPRODUCT(R44:R48,--S44:S48)</f>
        <v>0</v>
      </c>
      <c r="U44" s="56"/>
      <c r="V44" s="212">
        <f>T44/R44*P44*100</f>
        <v>0</v>
      </c>
      <c r="W44" s="6"/>
    </row>
    <row r="45" spans="2:23" ht="21" x14ac:dyDescent="0.4">
      <c r="B45" s="255"/>
      <c r="C45" s="49"/>
      <c r="D45" s="49"/>
      <c r="E45" s="242"/>
      <c r="F45" s="52"/>
      <c r="G45" s="242"/>
      <c r="H45" s="95"/>
      <c r="I45" s="265"/>
      <c r="J45" s="244"/>
      <c r="K45" s="41"/>
      <c r="L45" s="41"/>
      <c r="M45" s="41"/>
      <c r="N45" s="62"/>
      <c r="O45" s="268"/>
      <c r="P45" s="82"/>
      <c r="Q45" s="13" t="s">
        <v>273</v>
      </c>
      <c r="R45" s="31">
        <v>3</v>
      </c>
      <c r="S45" s="29" t="b">
        <v>0</v>
      </c>
      <c r="T45" s="57"/>
      <c r="U45" s="57"/>
      <c r="V45" s="210"/>
      <c r="W45" s="6"/>
    </row>
    <row r="46" spans="2:23" ht="21" x14ac:dyDescent="0.4">
      <c r="B46" s="255"/>
      <c r="C46" s="49"/>
      <c r="D46" s="49"/>
      <c r="E46" s="242"/>
      <c r="F46" s="52"/>
      <c r="G46" s="242"/>
      <c r="H46" s="95"/>
      <c r="I46" s="265"/>
      <c r="J46" s="244"/>
      <c r="K46" s="41"/>
      <c r="L46" s="41"/>
      <c r="M46" s="41"/>
      <c r="N46" s="62"/>
      <c r="O46" s="268"/>
      <c r="P46" s="82"/>
      <c r="Q46" s="13" t="s">
        <v>272</v>
      </c>
      <c r="R46" s="31">
        <v>2</v>
      </c>
      <c r="S46" s="29" t="b">
        <v>0</v>
      </c>
      <c r="T46" s="57"/>
      <c r="U46" s="57"/>
      <c r="V46" s="210"/>
      <c r="W46" s="6"/>
    </row>
    <row r="47" spans="2:23" ht="21" x14ac:dyDescent="0.4">
      <c r="B47" s="255"/>
      <c r="C47" s="49"/>
      <c r="D47" s="49"/>
      <c r="E47" s="242"/>
      <c r="F47" s="52"/>
      <c r="G47" s="242"/>
      <c r="H47" s="95"/>
      <c r="I47" s="265"/>
      <c r="J47" s="244"/>
      <c r="K47" s="41"/>
      <c r="L47" s="41"/>
      <c r="M47" s="41"/>
      <c r="N47" s="62"/>
      <c r="O47" s="268"/>
      <c r="P47" s="82"/>
      <c r="Q47" s="13" t="s">
        <v>274</v>
      </c>
      <c r="R47" s="31">
        <v>1</v>
      </c>
      <c r="S47" s="29" t="b">
        <v>0</v>
      </c>
      <c r="T47" s="57"/>
      <c r="U47" s="57"/>
      <c r="V47" s="210"/>
      <c r="W47" s="6"/>
    </row>
    <row r="48" spans="2:23" ht="21" x14ac:dyDescent="0.4">
      <c r="B48" s="255"/>
      <c r="C48" s="49"/>
      <c r="D48" s="49"/>
      <c r="E48" s="242"/>
      <c r="F48" s="52"/>
      <c r="G48" s="242"/>
      <c r="H48" s="95"/>
      <c r="I48" s="265"/>
      <c r="J48" s="244"/>
      <c r="K48" s="41"/>
      <c r="L48" s="41"/>
      <c r="M48" s="41"/>
      <c r="N48" s="62"/>
      <c r="O48" s="269"/>
      <c r="P48" s="83"/>
      <c r="Q48" s="13" t="s">
        <v>90</v>
      </c>
      <c r="R48" s="31">
        <v>0</v>
      </c>
      <c r="S48" s="29" t="b">
        <v>0</v>
      </c>
      <c r="T48" s="57"/>
      <c r="U48" s="57"/>
      <c r="V48" s="210"/>
      <c r="W48" s="6"/>
    </row>
    <row r="49" spans="2:23" ht="21" x14ac:dyDescent="0.4">
      <c r="B49" s="255"/>
      <c r="C49" s="49"/>
      <c r="D49" s="49"/>
      <c r="E49" s="242"/>
      <c r="F49" s="52"/>
      <c r="G49" s="242"/>
      <c r="H49" s="95"/>
      <c r="I49" s="265"/>
      <c r="J49" s="244"/>
      <c r="K49" s="41"/>
      <c r="L49" s="41"/>
      <c r="M49" s="41"/>
      <c r="N49" s="62"/>
      <c r="O49" s="267" t="s">
        <v>16</v>
      </c>
      <c r="P49" s="81">
        <f>M44*0.5</f>
        <v>0</v>
      </c>
      <c r="Q49" s="13" t="s">
        <v>85</v>
      </c>
      <c r="R49" s="31">
        <v>4</v>
      </c>
      <c r="S49" s="29" t="b">
        <v>0</v>
      </c>
      <c r="T49" s="55" cm="1">
        <f t="array" ref="T49">SUMPRODUCT(R49:R53,--S49:S53)</f>
        <v>0</v>
      </c>
      <c r="U49" s="56"/>
      <c r="V49" s="212">
        <f>T49/R49*P49*100</f>
        <v>0</v>
      </c>
      <c r="W49" s="6"/>
    </row>
    <row r="50" spans="2:23" ht="21" x14ac:dyDescent="0.4">
      <c r="B50" s="255"/>
      <c r="C50" s="49"/>
      <c r="D50" s="49"/>
      <c r="E50" s="242"/>
      <c r="F50" s="52"/>
      <c r="G50" s="242"/>
      <c r="H50" s="95"/>
      <c r="I50" s="265"/>
      <c r="J50" s="244"/>
      <c r="K50" s="41"/>
      <c r="L50" s="41"/>
      <c r="M50" s="41"/>
      <c r="N50" s="62"/>
      <c r="O50" s="268"/>
      <c r="P50" s="82"/>
      <c r="Q50" s="13" t="s">
        <v>86</v>
      </c>
      <c r="R50" s="31">
        <v>3</v>
      </c>
      <c r="S50" s="29" t="b">
        <v>0</v>
      </c>
      <c r="T50" s="60"/>
      <c r="U50" s="60"/>
      <c r="V50" s="213"/>
      <c r="W50" s="6"/>
    </row>
    <row r="51" spans="2:23" ht="21" x14ac:dyDescent="0.4">
      <c r="B51" s="255"/>
      <c r="C51" s="49"/>
      <c r="D51" s="49"/>
      <c r="E51" s="242"/>
      <c r="F51" s="52"/>
      <c r="G51" s="242"/>
      <c r="H51" s="95"/>
      <c r="I51" s="265"/>
      <c r="J51" s="244"/>
      <c r="K51" s="41"/>
      <c r="L51" s="41"/>
      <c r="M51" s="41"/>
      <c r="N51" s="62"/>
      <c r="O51" s="268"/>
      <c r="P51" s="77"/>
      <c r="Q51" s="13" t="s">
        <v>87</v>
      </c>
      <c r="R51" s="31">
        <v>2</v>
      </c>
      <c r="S51" s="29" t="b">
        <v>0</v>
      </c>
      <c r="T51" s="57"/>
      <c r="U51" s="57"/>
      <c r="V51" s="210"/>
      <c r="W51" s="6"/>
    </row>
    <row r="52" spans="2:23" ht="21" x14ac:dyDescent="0.4">
      <c r="B52" s="255"/>
      <c r="C52" s="49"/>
      <c r="D52" s="49"/>
      <c r="E52" s="242"/>
      <c r="F52" s="52"/>
      <c r="G52" s="242"/>
      <c r="H52" s="95"/>
      <c r="I52" s="265"/>
      <c r="J52" s="244"/>
      <c r="K52" s="41"/>
      <c r="L52" s="41"/>
      <c r="M52" s="41"/>
      <c r="N52" s="62"/>
      <c r="O52" s="268"/>
      <c r="P52" s="77"/>
      <c r="Q52" s="13" t="s">
        <v>88</v>
      </c>
      <c r="R52" s="31">
        <v>1</v>
      </c>
      <c r="S52" s="29" t="b">
        <v>0</v>
      </c>
      <c r="T52" s="57"/>
      <c r="U52" s="57"/>
      <c r="V52" s="210"/>
      <c r="W52" s="6"/>
    </row>
    <row r="53" spans="2:23" ht="21.6" thickBot="1" x14ac:dyDescent="0.45">
      <c r="B53" s="255"/>
      <c r="C53" s="49"/>
      <c r="D53" s="49"/>
      <c r="E53" s="242"/>
      <c r="F53" s="52"/>
      <c r="G53" s="242"/>
      <c r="H53" s="95"/>
      <c r="I53" s="265"/>
      <c r="J53" s="245"/>
      <c r="K53" s="42"/>
      <c r="L53" s="42"/>
      <c r="M53" s="42"/>
      <c r="N53" s="68"/>
      <c r="O53" s="269"/>
      <c r="P53" s="78"/>
      <c r="Q53" s="13" t="s">
        <v>84</v>
      </c>
      <c r="R53" s="31">
        <v>0</v>
      </c>
      <c r="S53" s="29" t="b">
        <v>0</v>
      </c>
      <c r="T53" s="58"/>
      <c r="U53" s="58"/>
      <c r="V53" s="211"/>
      <c r="W53" s="6"/>
    </row>
    <row r="54" spans="2:23" ht="21" x14ac:dyDescent="0.4">
      <c r="B54" s="255"/>
      <c r="C54" s="49"/>
      <c r="D54" s="49"/>
      <c r="E54" s="242"/>
      <c r="F54" s="52"/>
      <c r="G54" s="242"/>
      <c r="H54" s="95"/>
      <c r="I54" s="265"/>
      <c r="J54" s="248" t="s">
        <v>17</v>
      </c>
      <c r="K54" s="41">
        <f>F22*0.174041297935103</f>
        <v>1.5953785644051133E-2</v>
      </c>
      <c r="L54" s="235" t="b">
        <v>1</v>
      </c>
      <c r="M54" s="164">
        <f>IF(L54=TRUE, K54*$F$22/$N$54, 0)</f>
        <v>2.6773927392739299E-2</v>
      </c>
      <c r="N54" s="236" cm="1">
        <f t="array" ref="N54">SUMPRODUCT(K22:K59,--(L22:L59=TRUE))</f>
        <v>5.4621435594886955E-2</v>
      </c>
      <c r="O54" s="17"/>
      <c r="P54" s="148"/>
      <c r="Q54" s="13" t="s">
        <v>91</v>
      </c>
      <c r="R54" s="31">
        <v>5</v>
      </c>
      <c r="S54" s="29" t="b">
        <v>0</v>
      </c>
      <c r="T54" s="55" cm="1">
        <f t="array" ref="T54">SUMPRODUCT(R54:R59,--S54:S59)</f>
        <v>0</v>
      </c>
      <c r="U54" s="56"/>
      <c r="V54" s="212">
        <f>T54/R54*M54*100</f>
        <v>0</v>
      </c>
      <c r="W54" s="6"/>
    </row>
    <row r="55" spans="2:23" ht="21" x14ac:dyDescent="0.4">
      <c r="B55" s="255"/>
      <c r="C55" s="49"/>
      <c r="D55" s="49"/>
      <c r="E55" s="242"/>
      <c r="F55" s="52"/>
      <c r="G55" s="242"/>
      <c r="H55" s="95"/>
      <c r="I55" s="265"/>
      <c r="J55" s="244"/>
      <c r="K55" s="41"/>
      <c r="L55" s="41"/>
      <c r="M55" s="41"/>
      <c r="N55" s="62"/>
      <c r="O55" s="17"/>
      <c r="P55" s="148"/>
      <c r="Q55" s="13" t="s">
        <v>92</v>
      </c>
      <c r="R55" s="31">
        <v>4</v>
      </c>
      <c r="S55" s="29" t="b">
        <v>0</v>
      </c>
      <c r="T55" s="57"/>
      <c r="U55" s="57"/>
      <c r="V55" s="210"/>
      <c r="W55" s="6"/>
    </row>
    <row r="56" spans="2:23" ht="21" x14ac:dyDescent="0.4">
      <c r="B56" s="255"/>
      <c r="C56" s="49"/>
      <c r="D56" s="49"/>
      <c r="E56" s="242"/>
      <c r="F56" s="52"/>
      <c r="G56" s="242"/>
      <c r="H56" s="95"/>
      <c r="I56" s="265"/>
      <c r="J56" s="244"/>
      <c r="K56" s="41"/>
      <c r="L56" s="41"/>
      <c r="M56" s="41"/>
      <c r="N56" s="62"/>
      <c r="O56" s="17"/>
      <c r="P56" s="148"/>
      <c r="Q56" s="13" t="s">
        <v>93</v>
      </c>
      <c r="R56" s="31">
        <v>3</v>
      </c>
      <c r="S56" s="29" t="b">
        <v>0</v>
      </c>
      <c r="T56" s="57"/>
      <c r="U56" s="57"/>
      <c r="V56" s="210"/>
      <c r="W56" s="6"/>
    </row>
    <row r="57" spans="2:23" ht="21" x14ac:dyDescent="0.4">
      <c r="B57" s="255"/>
      <c r="C57" s="49"/>
      <c r="D57" s="49"/>
      <c r="E57" s="242"/>
      <c r="F57" s="52"/>
      <c r="G57" s="242"/>
      <c r="H57" s="95"/>
      <c r="I57" s="265"/>
      <c r="J57" s="244"/>
      <c r="K57" s="41"/>
      <c r="L57" s="41"/>
      <c r="M57" s="41"/>
      <c r="N57" s="62"/>
      <c r="O57" s="17"/>
      <c r="P57" s="148"/>
      <c r="Q57" s="13" t="s">
        <v>94</v>
      </c>
      <c r="R57" s="31">
        <v>2</v>
      </c>
      <c r="S57" s="29" t="b">
        <v>0</v>
      </c>
      <c r="T57" s="57"/>
      <c r="U57" s="57"/>
      <c r="V57" s="210"/>
      <c r="W57" s="6"/>
    </row>
    <row r="58" spans="2:23" ht="21" x14ac:dyDescent="0.4">
      <c r="B58" s="255"/>
      <c r="C58" s="49"/>
      <c r="D58" s="49"/>
      <c r="E58" s="242"/>
      <c r="F58" s="52"/>
      <c r="G58" s="242"/>
      <c r="H58" s="95"/>
      <c r="I58" s="265"/>
      <c r="J58" s="244"/>
      <c r="K58" s="41"/>
      <c r="L58" s="41"/>
      <c r="M58" s="41"/>
      <c r="N58" s="62"/>
      <c r="O58" s="17"/>
      <c r="P58" s="148"/>
      <c r="Q58" s="13" t="s">
        <v>95</v>
      </c>
      <c r="R58" s="31">
        <v>1</v>
      </c>
      <c r="S58" s="29" t="b">
        <v>0</v>
      </c>
      <c r="T58" s="57"/>
      <c r="U58" s="57"/>
      <c r="V58" s="210"/>
      <c r="W58" s="6"/>
    </row>
    <row r="59" spans="2:23" ht="21" x14ac:dyDescent="0.4">
      <c r="B59" s="255"/>
      <c r="C59" s="49"/>
      <c r="D59" s="49"/>
      <c r="E59" s="243"/>
      <c r="F59" s="53"/>
      <c r="G59" s="243"/>
      <c r="H59" s="96"/>
      <c r="I59" s="266"/>
      <c r="J59" s="245"/>
      <c r="K59" s="42"/>
      <c r="L59" s="42"/>
      <c r="M59" s="42"/>
      <c r="N59" s="68"/>
      <c r="O59" s="17"/>
      <c r="P59" s="148"/>
      <c r="Q59" s="13" t="s">
        <v>96</v>
      </c>
      <c r="R59" s="31">
        <v>0</v>
      </c>
      <c r="S59" s="29" t="b">
        <v>0</v>
      </c>
      <c r="T59" s="58"/>
      <c r="U59" s="58"/>
      <c r="V59" s="211"/>
      <c r="W59" s="6"/>
    </row>
    <row r="60" spans="2:23" ht="21" x14ac:dyDescent="0.4">
      <c r="B60" s="255"/>
      <c r="C60" s="49"/>
      <c r="D60" s="49"/>
      <c r="E60" s="249" t="s">
        <v>112</v>
      </c>
      <c r="F60" s="93">
        <f>D22*0.333333333333333</f>
        <v>0.13333333333333319</v>
      </c>
      <c r="G60" s="20"/>
      <c r="H60" s="97"/>
      <c r="I60" s="118"/>
      <c r="J60" s="248" t="s">
        <v>18</v>
      </c>
      <c r="K60" s="41">
        <f>F60*0.583333333333333</f>
        <v>7.7777777777777654E-2</v>
      </c>
      <c r="L60" s="41"/>
      <c r="M60" s="41"/>
      <c r="N60" s="62"/>
      <c r="O60" s="17"/>
      <c r="P60" s="148"/>
      <c r="Q60" s="13" t="s">
        <v>98</v>
      </c>
      <c r="R60" s="31">
        <v>5</v>
      </c>
      <c r="S60" s="29" t="b">
        <v>0</v>
      </c>
      <c r="T60" s="55" cm="1">
        <f t="array" ref="T60">SUMPRODUCT(R60:R65,--S60:S65)</f>
        <v>0</v>
      </c>
      <c r="U60" s="56"/>
      <c r="V60" s="212">
        <f>T60/R60*K60*100</f>
        <v>0</v>
      </c>
      <c r="W60" s="6"/>
    </row>
    <row r="61" spans="2:23" ht="21" x14ac:dyDescent="0.4">
      <c r="B61" s="255"/>
      <c r="C61" s="49"/>
      <c r="D61" s="49"/>
      <c r="E61" s="242"/>
      <c r="F61" s="41"/>
      <c r="G61" s="20"/>
      <c r="H61" s="98"/>
      <c r="I61" s="119"/>
      <c r="J61" s="244"/>
      <c r="K61" s="47"/>
      <c r="L61" s="47"/>
      <c r="M61" s="47"/>
      <c r="N61" s="64"/>
      <c r="O61" s="17"/>
      <c r="P61" s="148"/>
      <c r="Q61" s="13" t="s">
        <v>99</v>
      </c>
      <c r="R61" s="31">
        <v>4</v>
      </c>
      <c r="S61" s="29" t="b">
        <v>0</v>
      </c>
      <c r="T61" s="57"/>
      <c r="U61" s="57"/>
      <c r="V61" s="214"/>
      <c r="W61" s="6"/>
    </row>
    <row r="62" spans="2:23" ht="21" x14ac:dyDescent="0.4">
      <c r="B62" s="255"/>
      <c r="C62" s="49"/>
      <c r="D62" s="49"/>
      <c r="E62" s="242"/>
      <c r="F62" s="41"/>
      <c r="G62" s="20"/>
      <c r="H62" s="98"/>
      <c r="I62" s="119"/>
      <c r="J62" s="244"/>
      <c r="K62" s="47"/>
      <c r="L62" s="47"/>
      <c r="M62" s="47"/>
      <c r="N62" s="64"/>
      <c r="O62" s="17"/>
      <c r="P62" s="148"/>
      <c r="Q62" s="13" t="s">
        <v>100</v>
      </c>
      <c r="R62" s="31">
        <v>3</v>
      </c>
      <c r="S62" s="29" t="b">
        <v>0</v>
      </c>
      <c r="T62" s="57"/>
      <c r="U62" s="57"/>
      <c r="V62" s="210"/>
      <c r="W62" s="6"/>
    </row>
    <row r="63" spans="2:23" ht="21" x14ac:dyDescent="0.4">
      <c r="B63" s="255"/>
      <c r="C63" s="49"/>
      <c r="D63" s="49"/>
      <c r="E63" s="242"/>
      <c r="F63" s="41"/>
      <c r="G63" s="20"/>
      <c r="H63" s="98"/>
      <c r="I63" s="119"/>
      <c r="J63" s="244"/>
      <c r="K63" s="47"/>
      <c r="L63" s="47"/>
      <c r="M63" s="47"/>
      <c r="N63" s="64"/>
      <c r="O63" s="17"/>
      <c r="P63" s="148"/>
      <c r="Q63" s="13" t="s">
        <v>101</v>
      </c>
      <c r="R63" s="31">
        <v>2</v>
      </c>
      <c r="S63" s="29" t="b">
        <v>0</v>
      </c>
      <c r="T63" s="57"/>
      <c r="U63" s="57"/>
      <c r="V63" s="210"/>
      <c r="W63" s="6"/>
    </row>
    <row r="64" spans="2:23" ht="21" x14ac:dyDescent="0.4">
      <c r="B64" s="255"/>
      <c r="C64" s="49"/>
      <c r="D64" s="49"/>
      <c r="E64" s="242"/>
      <c r="F64" s="41"/>
      <c r="G64" s="20"/>
      <c r="H64" s="98"/>
      <c r="I64" s="119"/>
      <c r="J64" s="244"/>
      <c r="K64" s="47"/>
      <c r="L64" s="47"/>
      <c r="M64" s="47"/>
      <c r="N64" s="64"/>
      <c r="O64" s="17"/>
      <c r="P64" s="148"/>
      <c r="Q64" s="13" t="s">
        <v>102</v>
      </c>
      <c r="R64" s="31">
        <v>1</v>
      </c>
      <c r="S64" s="29" t="b">
        <v>0</v>
      </c>
      <c r="T64" s="57"/>
      <c r="U64" s="57"/>
      <c r="V64" s="210"/>
      <c r="W64" s="6"/>
    </row>
    <row r="65" spans="2:23" ht="21" x14ac:dyDescent="0.4">
      <c r="B65" s="255"/>
      <c r="C65" s="49"/>
      <c r="D65" s="49"/>
      <c r="E65" s="242"/>
      <c r="F65" s="41"/>
      <c r="G65" s="20"/>
      <c r="H65" s="99"/>
      <c r="I65" s="120"/>
      <c r="J65" s="245"/>
      <c r="K65" s="46"/>
      <c r="L65" s="46"/>
      <c r="M65" s="46"/>
      <c r="N65" s="65"/>
      <c r="O65" s="17"/>
      <c r="P65" s="148"/>
      <c r="Q65" s="13" t="s">
        <v>103</v>
      </c>
      <c r="R65" s="31">
        <v>0</v>
      </c>
      <c r="S65" s="29" t="b">
        <v>0</v>
      </c>
      <c r="T65" s="58"/>
      <c r="U65" s="58"/>
      <c r="V65" s="211"/>
      <c r="W65" s="6"/>
    </row>
    <row r="66" spans="2:23" ht="21" x14ac:dyDescent="0.4">
      <c r="B66" s="255"/>
      <c r="C66" s="49"/>
      <c r="D66" s="49"/>
      <c r="E66" s="242"/>
      <c r="F66" s="41"/>
      <c r="G66" s="20"/>
      <c r="H66" s="97"/>
      <c r="I66" s="118"/>
      <c r="J66" s="248" t="s">
        <v>19</v>
      </c>
      <c r="K66" s="41">
        <f>F60*0.416666666666667</f>
        <v>5.5555555555555546E-2</v>
      </c>
      <c r="L66" s="41"/>
      <c r="M66" s="41"/>
      <c r="N66" s="62"/>
      <c r="O66" s="17"/>
      <c r="P66" s="148"/>
      <c r="Q66" s="13" t="s">
        <v>104</v>
      </c>
      <c r="R66" s="31">
        <v>7</v>
      </c>
      <c r="S66" s="29" t="b">
        <v>0</v>
      </c>
      <c r="T66" s="55" cm="1">
        <f t="array" ref="T66">SUMPRODUCT(R66:R73,--S66:S73)</f>
        <v>0</v>
      </c>
      <c r="U66" s="56"/>
      <c r="V66" s="212">
        <f>T66/R66*K66*100</f>
        <v>0</v>
      </c>
      <c r="W66" s="6"/>
    </row>
    <row r="67" spans="2:23" ht="21" x14ac:dyDescent="0.4">
      <c r="B67" s="255"/>
      <c r="C67" s="49"/>
      <c r="D67" s="49"/>
      <c r="E67" s="242"/>
      <c r="F67" s="41"/>
      <c r="G67" s="20"/>
      <c r="H67" s="98"/>
      <c r="I67" s="119"/>
      <c r="J67" s="244"/>
      <c r="K67" s="47"/>
      <c r="L67" s="47"/>
      <c r="M67" s="47"/>
      <c r="N67" s="64"/>
      <c r="O67" s="17"/>
      <c r="P67" s="148"/>
      <c r="Q67" s="13" t="s">
        <v>105</v>
      </c>
      <c r="R67" s="31">
        <v>6</v>
      </c>
      <c r="S67" s="29" t="b">
        <v>0</v>
      </c>
      <c r="T67" s="57"/>
      <c r="U67" s="57"/>
      <c r="V67" s="214"/>
      <c r="W67" s="6"/>
    </row>
    <row r="68" spans="2:23" ht="21" x14ac:dyDescent="0.4">
      <c r="B68" s="255"/>
      <c r="C68" s="49"/>
      <c r="D68" s="49"/>
      <c r="E68" s="242"/>
      <c r="F68" s="41"/>
      <c r="G68" s="20"/>
      <c r="H68" s="98"/>
      <c r="I68" s="119"/>
      <c r="J68" s="244"/>
      <c r="K68" s="47"/>
      <c r="L68" s="47"/>
      <c r="M68" s="47"/>
      <c r="N68" s="64"/>
      <c r="O68" s="17"/>
      <c r="P68" s="148"/>
      <c r="Q68" s="13" t="s">
        <v>106</v>
      </c>
      <c r="R68" s="31">
        <v>5</v>
      </c>
      <c r="S68" s="29" t="b">
        <v>0</v>
      </c>
      <c r="T68" s="57"/>
      <c r="U68" s="57"/>
      <c r="V68" s="210"/>
      <c r="W68" s="6"/>
    </row>
    <row r="69" spans="2:23" ht="21" x14ac:dyDescent="0.4">
      <c r="B69" s="255"/>
      <c r="C69" s="49"/>
      <c r="D69" s="49"/>
      <c r="E69" s="242"/>
      <c r="F69" s="41"/>
      <c r="G69" s="20"/>
      <c r="H69" s="98"/>
      <c r="I69" s="119"/>
      <c r="J69" s="244"/>
      <c r="K69" s="47"/>
      <c r="L69" s="47"/>
      <c r="M69" s="47"/>
      <c r="N69" s="64"/>
      <c r="O69" s="17"/>
      <c r="P69" s="148"/>
      <c r="Q69" s="13" t="s">
        <v>107</v>
      </c>
      <c r="R69" s="31">
        <v>4</v>
      </c>
      <c r="S69" s="29" t="b">
        <v>0</v>
      </c>
      <c r="T69" s="57"/>
      <c r="U69" s="57"/>
      <c r="V69" s="210"/>
      <c r="W69" s="6"/>
    </row>
    <row r="70" spans="2:23" ht="21" x14ac:dyDescent="0.4">
      <c r="B70" s="255"/>
      <c r="C70" s="49"/>
      <c r="D70" s="49"/>
      <c r="E70" s="242"/>
      <c r="F70" s="41"/>
      <c r="G70" s="20"/>
      <c r="H70" s="98"/>
      <c r="I70" s="119"/>
      <c r="J70" s="244"/>
      <c r="K70" s="47"/>
      <c r="L70" s="47"/>
      <c r="M70" s="47"/>
      <c r="N70" s="64"/>
      <c r="O70" s="17"/>
      <c r="P70" s="148"/>
      <c r="Q70" s="13" t="s">
        <v>108</v>
      </c>
      <c r="R70" s="31">
        <v>3</v>
      </c>
      <c r="S70" s="29" t="b">
        <v>0</v>
      </c>
      <c r="T70" s="57"/>
      <c r="U70" s="57"/>
      <c r="V70" s="211"/>
      <c r="W70" s="6"/>
    </row>
    <row r="71" spans="2:23" ht="21" x14ac:dyDescent="0.4">
      <c r="B71" s="255"/>
      <c r="C71" s="49"/>
      <c r="D71" s="49"/>
      <c r="E71" s="242"/>
      <c r="F71" s="41"/>
      <c r="G71" s="20"/>
      <c r="H71" s="98"/>
      <c r="I71" s="119"/>
      <c r="J71" s="244"/>
      <c r="K71" s="47"/>
      <c r="L71" s="47"/>
      <c r="M71" s="47"/>
      <c r="N71" s="64"/>
      <c r="O71" s="17"/>
      <c r="P71" s="148"/>
      <c r="Q71" s="13" t="s">
        <v>109</v>
      </c>
      <c r="R71" s="31">
        <v>2</v>
      </c>
      <c r="S71" s="29" t="b">
        <v>0</v>
      </c>
      <c r="T71" s="57"/>
      <c r="U71" s="57"/>
      <c r="V71" s="215"/>
      <c r="W71" s="6"/>
    </row>
    <row r="72" spans="2:23" ht="21" x14ac:dyDescent="0.4">
      <c r="B72" s="255"/>
      <c r="C72" s="49"/>
      <c r="D72" s="49"/>
      <c r="E72" s="242"/>
      <c r="F72" s="41"/>
      <c r="G72" s="20"/>
      <c r="H72" s="98"/>
      <c r="I72" s="119"/>
      <c r="J72" s="244"/>
      <c r="K72" s="47"/>
      <c r="L72" s="47"/>
      <c r="M72" s="47"/>
      <c r="N72" s="64"/>
      <c r="O72" s="17"/>
      <c r="P72" s="148"/>
      <c r="Q72" s="13" t="s">
        <v>110</v>
      </c>
      <c r="R72" s="31">
        <v>1</v>
      </c>
      <c r="S72" s="29" t="b">
        <v>0</v>
      </c>
      <c r="T72" s="57"/>
      <c r="U72" s="57"/>
      <c r="V72" s="215"/>
      <c r="W72" s="6"/>
    </row>
    <row r="73" spans="2:23" ht="21" x14ac:dyDescent="0.4">
      <c r="B73" s="255"/>
      <c r="C73" s="49"/>
      <c r="D73" s="49"/>
      <c r="E73" s="243"/>
      <c r="F73" s="42"/>
      <c r="G73" s="20"/>
      <c r="H73" s="99"/>
      <c r="I73" s="120"/>
      <c r="J73" s="245"/>
      <c r="K73" s="46"/>
      <c r="L73" s="46"/>
      <c r="M73" s="46"/>
      <c r="N73" s="65"/>
      <c r="O73" s="17"/>
      <c r="P73" s="148"/>
      <c r="Q73" s="13" t="s">
        <v>111</v>
      </c>
      <c r="R73" s="31">
        <v>0</v>
      </c>
      <c r="S73" s="29" t="b">
        <v>0</v>
      </c>
      <c r="T73" s="58"/>
      <c r="U73" s="58"/>
      <c r="V73" s="215"/>
      <c r="W73" s="6"/>
    </row>
    <row r="74" spans="2:23" ht="21" x14ac:dyDescent="0.4">
      <c r="B74" s="255"/>
      <c r="C74" s="49"/>
      <c r="D74" s="49"/>
      <c r="E74" s="249" t="s">
        <v>131</v>
      </c>
      <c r="F74" s="93">
        <f>D22*0.4375</f>
        <v>0.17500000000000002</v>
      </c>
      <c r="G74" s="20"/>
      <c r="H74" s="97"/>
      <c r="I74" s="118"/>
      <c r="J74" s="248" t="s">
        <v>20</v>
      </c>
      <c r="K74" s="41">
        <f>F74*0.447916666666667</f>
        <v>7.8385416666666735E-2</v>
      </c>
      <c r="L74" s="41"/>
      <c r="M74" s="41"/>
      <c r="N74" s="62"/>
      <c r="O74" s="267" t="s">
        <v>120</v>
      </c>
      <c r="P74" s="142">
        <f>K74*0.5</f>
        <v>3.9192708333333368E-2</v>
      </c>
      <c r="Q74" s="13" t="s">
        <v>113</v>
      </c>
      <c r="R74" s="31">
        <v>3</v>
      </c>
      <c r="S74" s="29" t="b">
        <v>0</v>
      </c>
      <c r="T74" s="55" cm="1">
        <f t="array" ref="T74">SUMPRODUCT(R74:R77,--S74:S77)</f>
        <v>0</v>
      </c>
      <c r="U74" s="56"/>
      <c r="V74" s="212">
        <f>T74/R74*P74*100</f>
        <v>0</v>
      </c>
      <c r="W74" s="6"/>
    </row>
    <row r="75" spans="2:23" ht="21" x14ac:dyDescent="0.4">
      <c r="B75" s="255"/>
      <c r="C75" s="49"/>
      <c r="D75" s="49"/>
      <c r="E75" s="242"/>
      <c r="F75" s="41"/>
      <c r="G75" s="20"/>
      <c r="H75" s="98"/>
      <c r="I75" s="119"/>
      <c r="J75" s="244"/>
      <c r="K75" s="47"/>
      <c r="L75" s="47"/>
      <c r="M75" s="47"/>
      <c r="N75" s="64"/>
      <c r="O75" s="268"/>
      <c r="P75" s="143"/>
      <c r="Q75" s="13" t="s">
        <v>114</v>
      </c>
      <c r="R75" s="31">
        <v>2</v>
      </c>
      <c r="S75" s="29" t="b">
        <v>0</v>
      </c>
      <c r="T75" s="60"/>
      <c r="U75" s="60"/>
      <c r="V75" s="216"/>
      <c r="W75" s="6"/>
    </row>
    <row r="76" spans="2:23" ht="21" x14ac:dyDescent="0.4">
      <c r="B76" s="255"/>
      <c r="C76" s="49"/>
      <c r="D76" s="49"/>
      <c r="E76" s="242"/>
      <c r="F76" s="41"/>
      <c r="G76" s="20"/>
      <c r="H76" s="98"/>
      <c r="I76" s="119"/>
      <c r="J76" s="244"/>
      <c r="K76" s="47"/>
      <c r="L76" s="47"/>
      <c r="M76" s="47"/>
      <c r="N76" s="64"/>
      <c r="O76" s="268"/>
      <c r="P76" s="143"/>
      <c r="Q76" s="13" t="s">
        <v>115</v>
      </c>
      <c r="R76" s="31">
        <v>1</v>
      </c>
      <c r="S76" s="29" t="b">
        <v>0</v>
      </c>
      <c r="T76" s="60"/>
      <c r="U76" s="60"/>
      <c r="V76" s="216"/>
      <c r="W76" s="6"/>
    </row>
    <row r="77" spans="2:23" ht="21" x14ac:dyDescent="0.4">
      <c r="B77" s="255"/>
      <c r="C77" s="49"/>
      <c r="D77" s="49"/>
      <c r="E77" s="242"/>
      <c r="F77" s="41"/>
      <c r="G77" s="20"/>
      <c r="H77" s="98"/>
      <c r="I77" s="119"/>
      <c r="J77" s="244"/>
      <c r="K77" s="47"/>
      <c r="L77" s="47"/>
      <c r="M77" s="47"/>
      <c r="N77" s="64"/>
      <c r="O77" s="269"/>
      <c r="P77" s="144"/>
      <c r="Q77" s="13" t="s">
        <v>116</v>
      </c>
      <c r="R77" s="31">
        <v>0</v>
      </c>
      <c r="S77" s="29" t="b">
        <v>0</v>
      </c>
      <c r="T77" s="61"/>
      <c r="U77" s="61"/>
      <c r="V77" s="216"/>
      <c r="W77" s="6"/>
    </row>
    <row r="78" spans="2:23" ht="21" x14ac:dyDescent="0.4">
      <c r="B78" s="255"/>
      <c r="C78" s="49"/>
      <c r="D78" s="49"/>
      <c r="E78" s="242"/>
      <c r="F78" s="41"/>
      <c r="G78" s="20"/>
      <c r="H78" s="100"/>
      <c r="I78" s="116"/>
      <c r="J78" s="244"/>
      <c r="K78" s="47"/>
      <c r="L78" s="47"/>
      <c r="M78" s="47"/>
      <c r="N78" s="64"/>
      <c r="O78" s="267" t="s">
        <v>121</v>
      </c>
      <c r="P78" s="142">
        <f>K74*0.5</f>
        <v>3.9192708333333368E-2</v>
      </c>
      <c r="Q78" s="13" t="s">
        <v>117</v>
      </c>
      <c r="R78" s="31">
        <v>2</v>
      </c>
      <c r="S78" s="29" t="b">
        <v>0</v>
      </c>
      <c r="T78" s="55" cm="1">
        <f t="array" ref="T78">SUMPRODUCT(R78:R80,--S78:S80)</f>
        <v>0</v>
      </c>
      <c r="U78" s="56"/>
      <c r="V78" s="212">
        <f>T78/R78*P78*100</f>
        <v>0</v>
      </c>
      <c r="W78" s="5"/>
    </row>
    <row r="79" spans="2:23" ht="21" x14ac:dyDescent="0.4">
      <c r="B79" s="255"/>
      <c r="C79" s="49"/>
      <c r="D79" s="49"/>
      <c r="E79" s="242"/>
      <c r="F79" s="41"/>
      <c r="G79" s="20"/>
      <c r="H79" s="98"/>
      <c r="I79" s="119"/>
      <c r="J79" s="244"/>
      <c r="K79" s="47"/>
      <c r="L79" s="47"/>
      <c r="M79" s="47"/>
      <c r="N79" s="64"/>
      <c r="O79" s="268"/>
      <c r="P79" s="143"/>
      <c r="Q79" s="13" t="s">
        <v>118</v>
      </c>
      <c r="R79" s="31">
        <v>1</v>
      </c>
      <c r="S79" s="29" t="b">
        <v>0</v>
      </c>
      <c r="T79" s="60"/>
      <c r="U79" s="60"/>
      <c r="V79" s="216"/>
      <c r="W79" s="5"/>
    </row>
    <row r="80" spans="2:23" ht="21" x14ac:dyDescent="0.4">
      <c r="B80" s="255"/>
      <c r="C80" s="49"/>
      <c r="D80" s="49"/>
      <c r="E80" s="242"/>
      <c r="F80" s="41"/>
      <c r="G80" s="20"/>
      <c r="H80" s="99"/>
      <c r="I80" s="120"/>
      <c r="J80" s="245"/>
      <c r="K80" s="46"/>
      <c r="L80" s="46"/>
      <c r="M80" s="46"/>
      <c r="N80" s="65"/>
      <c r="O80" s="269"/>
      <c r="P80" s="144"/>
      <c r="Q80" s="13" t="s">
        <v>119</v>
      </c>
      <c r="R80" s="31">
        <v>0</v>
      </c>
      <c r="S80" s="29" t="b">
        <v>0</v>
      </c>
      <c r="T80" s="61"/>
      <c r="U80" s="61"/>
      <c r="V80" s="216"/>
      <c r="W80" s="5"/>
    </row>
    <row r="81" spans="2:23" ht="21" x14ac:dyDescent="0.4">
      <c r="B81" s="255"/>
      <c r="C81" s="49"/>
      <c r="D81" s="49"/>
      <c r="E81" s="242"/>
      <c r="F81" s="41"/>
      <c r="G81" s="20"/>
      <c r="H81" s="97"/>
      <c r="I81" s="118"/>
      <c r="J81" s="248" t="s">
        <v>21</v>
      </c>
      <c r="K81" s="41">
        <f>F74*0.21875</f>
        <v>3.8281250000000003E-2</v>
      </c>
      <c r="L81" s="41"/>
      <c r="M81" s="41"/>
      <c r="N81" s="62"/>
      <c r="O81" s="267" t="s">
        <v>122</v>
      </c>
      <c r="P81" s="142">
        <f>K81*0.5</f>
        <v>1.9140625000000001E-2</v>
      </c>
      <c r="Q81" s="13" t="s">
        <v>124</v>
      </c>
      <c r="R81" s="31">
        <v>3</v>
      </c>
      <c r="S81" s="29" t="b">
        <v>0</v>
      </c>
      <c r="T81" s="55" cm="1">
        <f t="array" ref="T81">SUMPRODUCT(R81:R84,--S81:S84)</f>
        <v>0</v>
      </c>
      <c r="U81" s="56"/>
      <c r="V81" s="212">
        <f>T81/R81*P81*100</f>
        <v>0</v>
      </c>
      <c r="W81" s="5"/>
    </row>
    <row r="82" spans="2:23" ht="21" x14ac:dyDescent="0.4">
      <c r="B82" s="255"/>
      <c r="C82" s="49"/>
      <c r="D82" s="49"/>
      <c r="E82" s="242"/>
      <c r="F82" s="41"/>
      <c r="G82" s="20"/>
      <c r="H82" s="98"/>
      <c r="I82" s="119"/>
      <c r="J82" s="244"/>
      <c r="K82" s="47"/>
      <c r="L82" s="47"/>
      <c r="M82" s="47"/>
      <c r="N82" s="64"/>
      <c r="O82" s="268"/>
      <c r="P82" s="143"/>
      <c r="Q82" s="13" t="s">
        <v>125</v>
      </c>
      <c r="R82" s="31">
        <v>2</v>
      </c>
      <c r="S82" s="29" t="b">
        <v>0</v>
      </c>
      <c r="T82" s="60"/>
      <c r="U82" s="60"/>
      <c r="V82" s="216"/>
      <c r="W82" s="5"/>
    </row>
    <row r="83" spans="2:23" ht="21" x14ac:dyDescent="0.4">
      <c r="B83" s="255"/>
      <c r="C83" s="49"/>
      <c r="D83" s="49"/>
      <c r="E83" s="242"/>
      <c r="F83" s="41"/>
      <c r="G83" s="20"/>
      <c r="H83" s="98"/>
      <c r="I83" s="119"/>
      <c r="J83" s="244"/>
      <c r="K83" s="47"/>
      <c r="L83" s="47"/>
      <c r="M83" s="47"/>
      <c r="N83" s="64"/>
      <c r="O83" s="268"/>
      <c r="P83" s="143"/>
      <c r="Q83" s="13" t="s">
        <v>126</v>
      </c>
      <c r="R83" s="31">
        <v>1</v>
      </c>
      <c r="S83" s="29" t="b">
        <v>0</v>
      </c>
      <c r="T83" s="60"/>
      <c r="U83" s="60"/>
      <c r="V83" s="216"/>
      <c r="W83" s="5"/>
    </row>
    <row r="84" spans="2:23" ht="21" x14ac:dyDescent="0.4">
      <c r="B84" s="255"/>
      <c r="C84" s="49"/>
      <c r="D84" s="49"/>
      <c r="E84" s="242"/>
      <c r="F84" s="41"/>
      <c r="G84" s="20"/>
      <c r="H84" s="98"/>
      <c r="I84" s="119"/>
      <c r="J84" s="244"/>
      <c r="K84" s="47"/>
      <c r="L84" s="47"/>
      <c r="M84" s="47"/>
      <c r="N84" s="64"/>
      <c r="O84" s="269"/>
      <c r="P84" s="144"/>
      <c r="Q84" s="13" t="s">
        <v>127</v>
      </c>
      <c r="R84" s="31">
        <v>0</v>
      </c>
      <c r="S84" s="29" t="b">
        <v>0</v>
      </c>
      <c r="T84" s="61"/>
      <c r="U84" s="61"/>
      <c r="V84" s="216"/>
      <c r="W84" s="5"/>
    </row>
    <row r="85" spans="2:23" ht="21" x14ac:dyDescent="0.4">
      <c r="B85" s="255"/>
      <c r="C85" s="49"/>
      <c r="D85" s="49"/>
      <c r="E85" s="242"/>
      <c r="F85" s="41"/>
      <c r="G85" s="20"/>
      <c r="H85" s="98"/>
      <c r="I85" s="119"/>
      <c r="J85" s="244"/>
      <c r="K85" s="47"/>
      <c r="L85" s="47"/>
      <c r="M85" s="47"/>
      <c r="N85" s="64"/>
      <c r="O85" s="267" t="s">
        <v>123</v>
      </c>
      <c r="P85" s="142">
        <f>K81*0.5</f>
        <v>1.9140625000000001E-2</v>
      </c>
      <c r="Q85" s="13" t="s">
        <v>128</v>
      </c>
      <c r="R85" s="31">
        <v>2</v>
      </c>
      <c r="S85" s="29" t="b">
        <v>0</v>
      </c>
      <c r="T85" s="55" cm="1">
        <f t="array" ref="T85">SUMPRODUCT(R85:R87,--S85:S87)</f>
        <v>0</v>
      </c>
      <c r="U85" s="56"/>
      <c r="V85" s="212">
        <f>T85/R85*P85*100</f>
        <v>0</v>
      </c>
      <c r="W85" s="5"/>
    </row>
    <row r="86" spans="2:23" ht="21" x14ac:dyDescent="0.4">
      <c r="B86" s="255"/>
      <c r="C86" s="49"/>
      <c r="D86" s="49"/>
      <c r="E86" s="242"/>
      <c r="F86" s="41"/>
      <c r="G86" s="20"/>
      <c r="H86" s="98"/>
      <c r="I86" s="119"/>
      <c r="J86" s="244"/>
      <c r="K86" s="47"/>
      <c r="L86" s="47"/>
      <c r="M86" s="47"/>
      <c r="N86" s="64"/>
      <c r="O86" s="268"/>
      <c r="P86" s="145"/>
      <c r="Q86" s="13" t="s">
        <v>129</v>
      </c>
      <c r="R86" s="31">
        <v>1</v>
      </c>
      <c r="S86" s="29" t="b">
        <v>0</v>
      </c>
      <c r="T86" s="60"/>
      <c r="U86" s="60"/>
      <c r="V86" s="216"/>
      <c r="W86" s="5"/>
    </row>
    <row r="87" spans="2:23" ht="21" x14ac:dyDescent="0.4">
      <c r="B87" s="255"/>
      <c r="C87" s="49"/>
      <c r="D87" s="49"/>
      <c r="E87" s="242"/>
      <c r="F87" s="41"/>
      <c r="G87" s="20"/>
      <c r="H87" s="99"/>
      <c r="I87" s="120"/>
      <c r="J87" s="245"/>
      <c r="K87" s="46"/>
      <c r="L87" s="46"/>
      <c r="M87" s="46"/>
      <c r="N87" s="65"/>
      <c r="O87" s="269"/>
      <c r="P87" s="146"/>
      <c r="Q87" s="13" t="s">
        <v>130</v>
      </c>
      <c r="R87" s="31">
        <v>0</v>
      </c>
      <c r="S87" s="29" t="b">
        <v>0</v>
      </c>
      <c r="T87" s="61"/>
      <c r="U87" s="61"/>
      <c r="V87" s="216"/>
      <c r="W87" s="5"/>
    </row>
    <row r="88" spans="2:23" ht="21" x14ac:dyDescent="0.4">
      <c r="B88" s="255"/>
      <c r="C88" s="49"/>
      <c r="D88" s="49"/>
      <c r="E88" s="242"/>
      <c r="F88" s="41"/>
      <c r="G88" s="21"/>
      <c r="H88" s="101"/>
      <c r="I88" s="121"/>
      <c r="J88" s="248" t="s">
        <v>8</v>
      </c>
      <c r="K88" s="41">
        <f>F74*0.333333333333333</f>
        <v>5.8333333333333279E-2</v>
      </c>
      <c r="L88" s="41"/>
      <c r="M88" s="41"/>
      <c r="N88" s="62"/>
      <c r="O88" s="17"/>
      <c r="P88" s="148"/>
      <c r="Q88" s="13" t="s">
        <v>276</v>
      </c>
      <c r="R88" s="31">
        <v>3</v>
      </c>
      <c r="S88" s="29" t="b">
        <v>0</v>
      </c>
      <c r="T88" s="55" cm="1">
        <f t="array" ref="T88">SUMPRODUCT(R88:R91,--S88:S91)</f>
        <v>0</v>
      </c>
      <c r="U88" s="56"/>
      <c r="V88" s="212">
        <f>T88/R88*K88*100</f>
        <v>0</v>
      </c>
      <c r="W88" s="3"/>
    </row>
    <row r="89" spans="2:23" ht="21" x14ac:dyDescent="0.4">
      <c r="B89" s="255"/>
      <c r="C89" s="49"/>
      <c r="D89" s="49"/>
      <c r="E89" s="242"/>
      <c r="F89" s="41"/>
      <c r="G89" s="22"/>
      <c r="H89" s="102"/>
      <c r="I89" s="122"/>
      <c r="J89" s="244"/>
      <c r="K89" s="47"/>
      <c r="L89" s="47"/>
      <c r="M89" s="47"/>
      <c r="N89" s="64"/>
      <c r="O89" s="19"/>
      <c r="P89" s="148"/>
      <c r="Q89" s="9" t="s">
        <v>277</v>
      </c>
      <c r="R89" s="33">
        <v>2</v>
      </c>
      <c r="S89" s="29" t="b">
        <v>0</v>
      </c>
      <c r="T89" s="60"/>
      <c r="U89" s="174"/>
      <c r="V89" s="217"/>
      <c r="W89" s="10"/>
    </row>
    <row r="90" spans="2:23" ht="21" x14ac:dyDescent="0.4">
      <c r="B90" s="255"/>
      <c r="C90" s="49"/>
      <c r="D90" s="49"/>
      <c r="E90" s="242"/>
      <c r="F90" s="41"/>
      <c r="G90" s="22"/>
      <c r="H90" s="102"/>
      <c r="I90" s="122"/>
      <c r="J90" s="244"/>
      <c r="K90" s="47"/>
      <c r="L90" s="47"/>
      <c r="M90" s="47"/>
      <c r="N90" s="64"/>
      <c r="O90" s="19"/>
      <c r="P90" s="148"/>
      <c r="Q90" s="9" t="s">
        <v>134</v>
      </c>
      <c r="R90" s="33">
        <v>1</v>
      </c>
      <c r="S90" s="29" t="b">
        <v>0</v>
      </c>
      <c r="T90" s="60"/>
      <c r="U90" s="60"/>
      <c r="V90" s="217"/>
      <c r="W90" s="10"/>
    </row>
    <row r="91" spans="2:23" ht="21.6" thickBot="1" x14ac:dyDescent="0.45">
      <c r="B91" s="256"/>
      <c r="C91" s="50"/>
      <c r="D91" s="50"/>
      <c r="E91" s="251"/>
      <c r="F91" s="44"/>
      <c r="G91" s="175"/>
      <c r="H91" s="176"/>
      <c r="I91" s="177"/>
      <c r="J91" s="252"/>
      <c r="K91" s="48"/>
      <c r="L91" s="48"/>
      <c r="M91" s="48"/>
      <c r="N91" s="67"/>
      <c r="O91" s="178"/>
      <c r="P91" s="179"/>
      <c r="Q91" s="180" t="s">
        <v>133</v>
      </c>
      <c r="R91" s="181">
        <v>0</v>
      </c>
      <c r="S91" s="182" t="b">
        <v>0</v>
      </c>
      <c r="T91" s="183"/>
      <c r="U91" s="183"/>
      <c r="V91" s="218"/>
      <c r="W91" s="36"/>
    </row>
    <row r="92" spans="2:23" ht="21" x14ac:dyDescent="0.4">
      <c r="B92" s="271" t="s">
        <v>300</v>
      </c>
      <c r="C92" s="161">
        <v>60</v>
      </c>
      <c r="D92" s="162">
        <v>0.6</v>
      </c>
      <c r="E92" s="257" t="s">
        <v>152</v>
      </c>
      <c r="F92" s="163">
        <f>D92*0.489583333333333</f>
        <v>0.29374999999999979</v>
      </c>
      <c r="G92" s="274" t="s">
        <v>151</v>
      </c>
      <c r="H92" s="163">
        <f>F92*0.416666666666667</f>
        <v>0.12239583333333334</v>
      </c>
      <c r="I92" s="184"/>
      <c r="J92" s="277" t="s">
        <v>22</v>
      </c>
      <c r="K92" s="164">
        <f>H92*0.416666666666667</f>
        <v>5.0998263888888937E-2</v>
      </c>
      <c r="L92" s="164"/>
      <c r="M92" s="164"/>
      <c r="N92" s="165"/>
      <c r="O92" s="278" t="s">
        <v>132</v>
      </c>
      <c r="P92" s="185">
        <f>K92*0.5</f>
        <v>2.5499131944444468E-2</v>
      </c>
      <c r="Q92" s="168" t="s">
        <v>136</v>
      </c>
      <c r="R92" s="169">
        <v>9</v>
      </c>
      <c r="S92" s="170" t="b">
        <v>0</v>
      </c>
      <c r="T92" s="171" cm="1">
        <f t="array" ref="T92">SUMPRODUCT(R92:R101,--S92:S101)</f>
        <v>0</v>
      </c>
      <c r="U92" s="171"/>
      <c r="V92" s="219">
        <f>T92/R92*P92*100</f>
        <v>0</v>
      </c>
      <c r="W92" s="172"/>
    </row>
    <row r="93" spans="2:23" ht="21" x14ac:dyDescent="0.4">
      <c r="B93" s="272"/>
      <c r="C93" s="51"/>
      <c r="D93" s="51"/>
      <c r="E93" s="242"/>
      <c r="F93" s="41"/>
      <c r="G93" s="275"/>
      <c r="H93" s="103"/>
      <c r="I93" s="23"/>
      <c r="J93" s="244"/>
      <c r="K93" s="47"/>
      <c r="L93" s="47"/>
      <c r="M93" s="47"/>
      <c r="N93" s="64"/>
      <c r="O93" s="268"/>
      <c r="P93" s="143"/>
      <c r="Q93" s="9" t="s">
        <v>137</v>
      </c>
      <c r="R93" s="33">
        <v>8</v>
      </c>
      <c r="S93" s="29" t="b">
        <v>0</v>
      </c>
      <c r="T93" s="60"/>
      <c r="U93" s="60"/>
      <c r="V93" s="220"/>
      <c r="W93" s="4"/>
    </row>
    <row r="94" spans="2:23" ht="21" x14ac:dyDescent="0.4">
      <c r="B94" s="272"/>
      <c r="C94" s="51"/>
      <c r="D94" s="51"/>
      <c r="E94" s="242"/>
      <c r="F94" s="41"/>
      <c r="G94" s="275"/>
      <c r="H94" s="103"/>
      <c r="I94" s="23"/>
      <c r="J94" s="244"/>
      <c r="K94" s="47"/>
      <c r="L94" s="47"/>
      <c r="M94" s="47"/>
      <c r="N94" s="64"/>
      <c r="O94" s="268"/>
      <c r="P94" s="143"/>
      <c r="Q94" s="9" t="s">
        <v>138</v>
      </c>
      <c r="R94" s="33">
        <v>7</v>
      </c>
      <c r="S94" s="29" t="b">
        <v>0</v>
      </c>
      <c r="T94" s="60"/>
      <c r="U94" s="60"/>
      <c r="V94" s="220"/>
      <c r="W94" s="4"/>
    </row>
    <row r="95" spans="2:23" ht="21" x14ac:dyDescent="0.4">
      <c r="B95" s="272"/>
      <c r="C95" s="51"/>
      <c r="D95" s="51"/>
      <c r="E95" s="242"/>
      <c r="F95" s="41"/>
      <c r="G95" s="275"/>
      <c r="H95" s="103"/>
      <c r="I95" s="23"/>
      <c r="J95" s="244"/>
      <c r="K95" s="47"/>
      <c r="L95" s="47"/>
      <c r="M95" s="47"/>
      <c r="N95" s="64"/>
      <c r="O95" s="268"/>
      <c r="P95" s="143"/>
      <c r="Q95" s="9" t="s">
        <v>139</v>
      </c>
      <c r="R95" s="33">
        <v>6</v>
      </c>
      <c r="S95" s="29" t="b">
        <v>0</v>
      </c>
      <c r="T95" s="60"/>
      <c r="U95" s="60"/>
      <c r="V95" s="220"/>
      <c r="W95" s="4"/>
    </row>
    <row r="96" spans="2:23" ht="21" x14ac:dyDescent="0.4">
      <c r="B96" s="272"/>
      <c r="C96" s="51"/>
      <c r="D96" s="51"/>
      <c r="E96" s="242"/>
      <c r="F96" s="41"/>
      <c r="G96" s="275"/>
      <c r="H96" s="103"/>
      <c r="I96" s="23"/>
      <c r="J96" s="244"/>
      <c r="K96" s="47"/>
      <c r="L96" s="47"/>
      <c r="M96" s="47"/>
      <c r="N96" s="64"/>
      <c r="O96" s="268"/>
      <c r="P96" s="143"/>
      <c r="Q96" s="9" t="s">
        <v>140</v>
      </c>
      <c r="R96" s="33">
        <v>5</v>
      </c>
      <c r="S96" s="29" t="b">
        <v>0</v>
      </c>
      <c r="T96" s="60"/>
      <c r="U96" s="60"/>
      <c r="V96" s="220"/>
      <c r="W96" s="4"/>
    </row>
    <row r="97" spans="2:23" ht="21" x14ac:dyDescent="0.4">
      <c r="B97" s="272"/>
      <c r="C97" s="51"/>
      <c r="D97" s="51"/>
      <c r="E97" s="242"/>
      <c r="F97" s="41"/>
      <c r="G97" s="275"/>
      <c r="H97" s="103"/>
      <c r="I97" s="23"/>
      <c r="J97" s="244"/>
      <c r="K97" s="47"/>
      <c r="L97" s="47"/>
      <c r="M97" s="47"/>
      <c r="N97" s="64"/>
      <c r="O97" s="268"/>
      <c r="P97" s="143"/>
      <c r="Q97" s="9" t="s">
        <v>141</v>
      </c>
      <c r="R97" s="33">
        <v>4</v>
      </c>
      <c r="S97" s="29" t="b">
        <v>0</v>
      </c>
      <c r="T97" s="60"/>
      <c r="U97" s="60"/>
      <c r="V97" s="220"/>
      <c r="W97" s="4"/>
    </row>
    <row r="98" spans="2:23" ht="21" x14ac:dyDescent="0.4">
      <c r="B98" s="272"/>
      <c r="C98" s="51"/>
      <c r="D98" s="51"/>
      <c r="E98" s="242"/>
      <c r="F98" s="41"/>
      <c r="G98" s="275"/>
      <c r="H98" s="103"/>
      <c r="I98" s="23"/>
      <c r="J98" s="244"/>
      <c r="K98" s="47"/>
      <c r="L98" s="47"/>
      <c r="M98" s="47"/>
      <c r="N98" s="64"/>
      <c r="O98" s="268"/>
      <c r="P98" s="143"/>
      <c r="Q98" s="9" t="s">
        <v>142</v>
      </c>
      <c r="R98" s="33">
        <v>3</v>
      </c>
      <c r="S98" s="29" t="b">
        <v>0</v>
      </c>
      <c r="T98" s="60"/>
      <c r="U98" s="60"/>
      <c r="V98" s="220"/>
      <c r="W98" s="4"/>
    </row>
    <row r="99" spans="2:23" ht="21" x14ac:dyDescent="0.4">
      <c r="B99" s="272"/>
      <c r="C99" s="51"/>
      <c r="D99" s="51"/>
      <c r="E99" s="242"/>
      <c r="F99" s="41"/>
      <c r="G99" s="275"/>
      <c r="H99" s="103"/>
      <c r="I99" s="23"/>
      <c r="J99" s="244"/>
      <c r="K99" s="47"/>
      <c r="L99" s="47"/>
      <c r="M99" s="47"/>
      <c r="N99" s="64"/>
      <c r="O99" s="268"/>
      <c r="P99" s="143"/>
      <c r="Q99" s="9" t="s">
        <v>143</v>
      </c>
      <c r="R99" s="33">
        <v>2</v>
      </c>
      <c r="S99" s="29" t="b">
        <v>0</v>
      </c>
      <c r="T99" s="60"/>
      <c r="U99" s="60"/>
      <c r="V99" s="220"/>
      <c r="W99" s="4"/>
    </row>
    <row r="100" spans="2:23" ht="21" x14ac:dyDescent="0.4">
      <c r="B100" s="272"/>
      <c r="C100" s="51"/>
      <c r="D100" s="51"/>
      <c r="E100" s="242"/>
      <c r="F100" s="41"/>
      <c r="G100" s="275"/>
      <c r="H100" s="103"/>
      <c r="I100" s="23"/>
      <c r="J100" s="244"/>
      <c r="K100" s="47"/>
      <c r="L100" s="47"/>
      <c r="M100" s="47"/>
      <c r="N100" s="64"/>
      <c r="O100" s="268"/>
      <c r="P100" s="143"/>
      <c r="Q100" s="9" t="s">
        <v>144</v>
      </c>
      <c r="R100" s="33">
        <v>1</v>
      </c>
      <c r="S100" s="29" t="b">
        <v>0</v>
      </c>
      <c r="T100" s="60"/>
      <c r="U100" s="60"/>
      <c r="V100" s="220"/>
      <c r="W100" s="4"/>
    </row>
    <row r="101" spans="2:23" ht="21" x14ac:dyDescent="0.4">
      <c r="B101" s="272"/>
      <c r="C101" s="51"/>
      <c r="D101" s="51"/>
      <c r="E101" s="242"/>
      <c r="F101" s="41"/>
      <c r="G101" s="275"/>
      <c r="H101" s="103"/>
      <c r="I101" s="23"/>
      <c r="J101" s="244"/>
      <c r="K101" s="47"/>
      <c r="L101" s="47"/>
      <c r="M101" s="47"/>
      <c r="N101" s="64"/>
      <c r="O101" s="269"/>
      <c r="P101" s="144"/>
      <c r="Q101" s="9" t="s">
        <v>145</v>
      </c>
      <c r="R101" s="33">
        <v>0</v>
      </c>
      <c r="S101" s="29" t="b">
        <v>0</v>
      </c>
      <c r="T101" s="61"/>
      <c r="U101" s="61"/>
      <c r="V101" s="220"/>
      <c r="W101" s="4"/>
    </row>
    <row r="102" spans="2:23" ht="21" x14ac:dyDescent="0.4">
      <c r="B102" s="272"/>
      <c r="C102" s="51"/>
      <c r="D102" s="51"/>
      <c r="E102" s="242"/>
      <c r="F102" s="41"/>
      <c r="G102" s="275"/>
      <c r="H102" s="103"/>
      <c r="I102" s="23"/>
      <c r="J102" s="244"/>
      <c r="K102" s="47"/>
      <c r="L102" s="47"/>
      <c r="M102" s="47"/>
      <c r="N102" s="64"/>
      <c r="O102" s="267" t="s">
        <v>135</v>
      </c>
      <c r="P102" s="143">
        <f>K92*0.5</f>
        <v>2.5499131944444468E-2</v>
      </c>
      <c r="Q102" s="9" t="s">
        <v>146</v>
      </c>
      <c r="R102" s="33">
        <v>3</v>
      </c>
      <c r="S102" s="29" t="b">
        <v>0</v>
      </c>
      <c r="T102" s="55" cm="1">
        <f t="array" ref="T102">SUMPRODUCT(R102:R105,--S102:S105)</f>
        <v>0</v>
      </c>
      <c r="U102" s="56"/>
      <c r="V102" s="212">
        <f>T102/R102*P102*100</f>
        <v>0</v>
      </c>
      <c r="W102" s="4"/>
    </row>
    <row r="103" spans="2:23" ht="21" x14ac:dyDescent="0.4">
      <c r="B103" s="272"/>
      <c r="C103" s="51"/>
      <c r="D103" s="51"/>
      <c r="E103" s="242"/>
      <c r="F103" s="41"/>
      <c r="G103" s="275"/>
      <c r="H103" s="103"/>
      <c r="I103" s="23"/>
      <c r="J103" s="244"/>
      <c r="K103" s="47"/>
      <c r="L103" s="47"/>
      <c r="M103" s="47"/>
      <c r="N103" s="64"/>
      <c r="O103" s="268"/>
      <c r="P103" s="77"/>
      <c r="Q103" s="9" t="s">
        <v>147</v>
      </c>
      <c r="R103" s="33">
        <v>2</v>
      </c>
      <c r="S103" s="29" t="b">
        <v>0</v>
      </c>
      <c r="T103" s="60"/>
      <c r="U103" s="60"/>
      <c r="V103" s="220"/>
      <c r="W103" s="4"/>
    </row>
    <row r="104" spans="2:23" ht="21" x14ac:dyDescent="0.4">
      <c r="B104" s="272"/>
      <c r="C104" s="51"/>
      <c r="D104" s="51"/>
      <c r="E104" s="242"/>
      <c r="F104" s="41"/>
      <c r="G104" s="275"/>
      <c r="H104" s="103"/>
      <c r="I104" s="23"/>
      <c r="J104" s="244"/>
      <c r="K104" s="47"/>
      <c r="L104" s="47"/>
      <c r="M104" s="47"/>
      <c r="N104" s="64"/>
      <c r="O104" s="268"/>
      <c r="P104" s="77"/>
      <c r="Q104" s="9" t="s">
        <v>148</v>
      </c>
      <c r="R104" s="33">
        <v>1</v>
      </c>
      <c r="S104" s="29" t="b">
        <v>0</v>
      </c>
      <c r="T104" s="60"/>
      <c r="U104" s="60"/>
      <c r="V104" s="220"/>
      <c r="W104" s="4"/>
    </row>
    <row r="105" spans="2:23" ht="21" x14ac:dyDescent="0.4">
      <c r="B105" s="272"/>
      <c r="C105" s="51"/>
      <c r="D105" s="51"/>
      <c r="E105" s="242"/>
      <c r="F105" s="41"/>
      <c r="G105" s="275"/>
      <c r="H105" s="103"/>
      <c r="I105" s="23"/>
      <c r="J105" s="245"/>
      <c r="K105" s="46"/>
      <c r="L105" s="47"/>
      <c r="M105" s="47"/>
      <c r="N105" s="64"/>
      <c r="O105" s="269"/>
      <c r="P105" s="78"/>
      <c r="Q105" s="9" t="s">
        <v>149</v>
      </c>
      <c r="R105" s="33">
        <v>0</v>
      </c>
      <c r="S105" s="29" t="b">
        <v>0</v>
      </c>
      <c r="T105" s="61"/>
      <c r="U105" s="61"/>
      <c r="V105" s="220"/>
      <c r="W105" s="4"/>
    </row>
    <row r="106" spans="2:23" ht="21" x14ac:dyDescent="0.4">
      <c r="B106" s="272"/>
      <c r="C106" s="51"/>
      <c r="D106" s="51"/>
      <c r="E106" s="242"/>
      <c r="F106" s="41"/>
      <c r="G106" s="275"/>
      <c r="H106" s="103"/>
      <c r="I106" s="23"/>
      <c r="J106" s="279" t="s">
        <v>23</v>
      </c>
      <c r="K106" s="230">
        <f>H92*0.34375</f>
        <v>4.2073567708333336E-2</v>
      </c>
      <c r="L106" s="230"/>
      <c r="M106" s="230"/>
      <c r="N106" s="43"/>
      <c r="O106" s="229"/>
      <c r="P106" s="79"/>
      <c r="Q106" s="9" t="s">
        <v>303</v>
      </c>
      <c r="R106" s="33">
        <v>1</v>
      </c>
      <c r="S106" s="29" t="b">
        <v>0</v>
      </c>
      <c r="T106" s="55" cm="1">
        <f t="array" ref="T106">SUMPRODUCT(R106:R111,--S106:S111)</f>
        <v>0</v>
      </c>
      <c r="U106" s="56" cm="1">
        <f t="array" ref="U106">IF(
  6=0,
  "",
  _xlfn.IFS(
    T106/6&gt;=0.8, 5,
    T106/6&gt;=0.6, 4,
    T106/6&gt;=0.4, 3,
    T106/6&gt;=0.2, 2,
    T106/6&gt;=0.1, 1,
    TRUE, 0
  )
)</f>
        <v>0</v>
      </c>
      <c r="V106" s="212">
        <f>U106/5*K106*100</f>
        <v>0</v>
      </c>
      <c r="W106" s="283" t="s">
        <v>150</v>
      </c>
    </row>
    <row r="107" spans="2:23" ht="21" x14ac:dyDescent="0.4">
      <c r="B107" s="272"/>
      <c r="C107" s="51"/>
      <c r="D107" s="51"/>
      <c r="E107" s="242"/>
      <c r="F107" s="41"/>
      <c r="G107" s="275"/>
      <c r="H107" s="103"/>
      <c r="I107" s="23"/>
      <c r="J107" s="280"/>
      <c r="K107" s="228"/>
      <c r="L107" s="228"/>
      <c r="M107" s="228"/>
      <c r="N107" s="64"/>
      <c r="O107" s="229"/>
      <c r="P107" s="79"/>
      <c r="Q107" s="9" t="s">
        <v>304</v>
      </c>
      <c r="R107" s="33">
        <v>1</v>
      </c>
      <c r="S107" s="29" t="b">
        <v>0</v>
      </c>
      <c r="T107" s="60"/>
      <c r="U107" s="60"/>
      <c r="V107" s="213"/>
      <c r="W107" s="284"/>
    </row>
    <row r="108" spans="2:23" ht="21" x14ac:dyDescent="0.4">
      <c r="B108" s="272"/>
      <c r="C108" s="51"/>
      <c r="D108" s="51"/>
      <c r="E108" s="242"/>
      <c r="F108" s="41"/>
      <c r="G108" s="275"/>
      <c r="H108" s="103"/>
      <c r="I108" s="23"/>
      <c r="J108" s="280"/>
      <c r="K108" s="228"/>
      <c r="L108" s="228"/>
      <c r="M108" s="228"/>
      <c r="N108" s="64"/>
      <c r="O108" s="229"/>
      <c r="P108" s="79"/>
      <c r="Q108" s="9" t="s">
        <v>305</v>
      </c>
      <c r="R108" s="33">
        <v>1</v>
      </c>
      <c r="S108" s="29" t="b">
        <v>0</v>
      </c>
      <c r="T108" s="232"/>
      <c r="U108" s="232"/>
      <c r="V108" s="213"/>
      <c r="W108" s="284"/>
    </row>
    <row r="109" spans="2:23" ht="21" x14ac:dyDescent="0.4">
      <c r="B109" s="272"/>
      <c r="C109" s="51"/>
      <c r="D109" s="51"/>
      <c r="E109" s="242"/>
      <c r="F109" s="41"/>
      <c r="G109" s="275"/>
      <c r="H109" s="103"/>
      <c r="I109" s="23"/>
      <c r="J109" s="280"/>
      <c r="K109" s="228"/>
      <c r="L109" s="228"/>
      <c r="M109" s="228"/>
      <c r="N109" s="64"/>
      <c r="O109" s="229"/>
      <c r="P109" s="7"/>
      <c r="Q109" s="9" t="s">
        <v>306</v>
      </c>
      <c r="R109" s="33">
        <v>1</v>
      </c>
      <c r="S109" s="29" t="b">
        <v>0</v>
      </c>
      <c r="T109" s="60"/>
      <c r="U109" s="60"/>
      <c r="V109" s="213"/>
      <c r="W109" s="284"/>
    </row>
    <row r="110" spans="2:23" ht="21" x14ac:dyDescent="0.4">
      <c r="B110" s="272"/>
      <c r="C110" s="51"/>
      <c r="D110" s="51"/>
      <c r="E110" s="242"/>
      <c r="F110" s="41"/>
      <c r="G110" s="275"/>
      <c r="H110" s="103"/>
      <c r="I110" s="23"/>
      <c r="J110" s="280"/>
      <c r="K110" s="228"/>
      <c r="L110" s="228"/>
      <c r="M110" s="228"/>
      <c r="N110" s="64"/>
      <c r="O110" s="229"/>
      <c r="P110" s="7"/>
      <c r="Q110" s="9" t="s">
        <v>307</v>
      </c>
      <c r="R110" s="33">
        <v>1</v>
      </c>
      <c r="S110" s="29" t="b">
        <v>0</v>
      </c>
      <c r="T110" s="60"/>
      <c r="U110" s="60"/>
      <c r="V110" s="213"/>
      <c r="W110" s="284"/>
    </row>
    <row r="111" spans="2:23" ht="21" x14ac:dyDescent="0.4">
      <c r="B111" s="272"/>
      <c r="C111" s="51"/>
      <c r="D111" s="51"/>
      <c r="E111" s="242"/>
      <c r="F111" s="41"/>
      <c r="G111" s="275"/>
      <c r="H111" s="103"/>
      <c r="I111" s="23"/>
      <c r="J111" s="281"/>
      <c r="K111" s="231"/>
      <c r="L111" s="231"/>
      <c r="M111" s="231"/>
      <c r="N111" s="65"/>
      <c r="O111" s="229"/>
      <c r="P111" s="7"/>
      <c r="Q111" s="9" t="s">
        <v>308</v>
      </c>
      <c r="R111" s="33">
        <v>1</v>
      </c>
      <c r="S111" s="29" t="b">
        <v>0</v>
      </c>
      <c r="T111" s="60"/>
      <c r="U111" s="60"/>
      <c r="V111" s="213"/>
      <c r="W111" s="285"/>
    </row>
    <row r="112" spans="2:23" ht="21" x14ac:dyDescent="0.4">
      <c r="B112" s="272"/>
      <c r="C112" s="51"/>
      <c r="D112" s="51"/>
      <c r="E112" s="242"/>
      <c r="F112" s="41"/>
      <c r="G112" s="275"/>
      <c r="H112" s="103"/>
      <c r="I112" s="23"/>
      <c r="J112" s="248" t="s">
        <v>24</v>
      </c>
      <c r="K112" s="41">
        <f>H92*0.239583333333333</f>
        <v>2.9324001736111074E-2</v>
      </c>
      <c r="L112" s="41"/>
      <c r="M112" s="41"/>
      <c r="N112" s="62"/>
      <c r="O112" s="267" t="s">
        <v>153</v>
      </c>
      <c r="P112" s="142">
        <f>K112*0.5</f>
        <v>1.4662000868055537E-2</v>
      </c>
      <c r="Q112" s="13" t="s">
        <v>309</v>
      </c>
      <c r="R112" s="31">
        <v>1</v>
      </c>
      <c r="S112" s="29" t="b">
        <v>0</v>
      </c>
      <c r="T112" s="55" cm="1">
        <f t="array" ref="T112">SUMPRODUCT(R112:R120,--S112:S120)</f>
        <v>0</v>
      </c>
      <c r="U112" s="56" cm="1">
        <f t="array" ref="U112">IF(
  9=0,
  "",
  _xlfn.IFS(
    T112/9&gt;=0.8, 5,
    T112/9&gt;=0.6, 4,
    T112/9&gt;=0.4, 3,
    T112/9&gt;=0.2, 2,
    T112/9&gt;=0.1, 1,
    TRUE, 0
  )
)</f>
        <v>0</v>
      </c>
      <c r="V112" s="212">
        <f>U112/5*P112*100</f>
        <v>0</v>
      </c>
      <c r="W112" s="283" t="s">
        <v>150</v>
      </c>
    </row>
    <row r="113" spans="2:23" ht="21" x14ac:dyDescent="0.4">
      <c r="B113" s="272"/>
      <c r="C113" s="51"/>
      <c r="D113" s="51"/>
      <c r="E113" s="242"/>
      <c r="F113" s="41"/>
      <c r="G113" s="275"/>
      <c r="H113" s="103"/>
      <c r="I113" s="23"/>
      <c r="J113" s="244"/>
      <c r="K113" s="47"/>
      <c r="L113" s="47"/>
      <c r="M113" s="47"/>
      <c r="N113" s="64"/>
      <c r="O113" s="268"/>
      <c r="P113" s="143"/>
      <c r="Q113" s="13" t="s">
        <v>310</v>
      </c>
      <c r="R113" s="31">
        <v>1</v>
      </c>
      <c r="S113" s="29" t="b">
        <v>0</v>
      </c>
      <c r="T113" s="60"/>
      <c r="U113" s="60"/>
      <c r="V113" s="220"/>
      <c r="W113" s="284"/>
    </row>
    <row r="114" spans="2:23" ht="21" x14ac:dyDescent="0.4">
      <c r="B114" s="272"/>
      <c r="C114" s="51"/>
      <c r="D114" s="51"/>
      <c r="E114" s="242"/>
      <c r="F114" s="41"/>
      <c r="G114" s="275"/>
      <c r="H114" s="103"/>
      <c r="I114" s="23"/>
      <c r="J114" s="244"/>
      <c r="K114" s="47"/>
      <c r="L114" s="47"/>
      <c r="M114" s="47"/>
      <c r="N114" s="64"/>
      <c r="O114" s="268"/>
      <c r="P114" s="143"/>
      <c r="Q114" s="13" t="s">
        <v>311</v>
      </c>
      <c r="R114" s="31">
        <v>1</v>
      </c>
      <c r="S114" s="29" t="b">
        <v>0</v>
      </c>
      <c r="T114" s="60"/>
      <c r="U114" s="60"/>
      <c r="V114" s="220"/>
      <c r="W114" s="284"/>
    </row>
    <row r="115" spans="2:23" ht="21" x14ac:dyDescent="0.4">
      <c r="B115" s="272"/>
      <c r="C115" s="51"/>
      <c r="D115" s="51"/>
      <c r="E115" s="242"/>
      <c r="F115" s="41"/>
      <c r="G115" s="275"/>
      <c r="H115" s="103"/>
      <c r="I115" s="23"/>
      <c r="J115" s="244"/>
      <c r="K115" s="47"/>
      <c r="L115" s="47"/>
      <c r="M115" s="47"/>
      <c r="N115" s="64"/>
      <c r="O115" s="268"/>
      <c r="P115" s="143"/>
      <c r="Q115" s="13" t="s">
        <v>312</v>
      </c>
      <c r="R115" s="31">
        <v>1</v>
      </c>
      <c r="S115" s="29" t="b">
        <v>0</v>
      </c>
      <c r="T115" s="60"/>
      <c r="U115" s="60"/>
      <c r="V115" s="220"/>
      <c r="W115" s="284"/>
    </row>
    <row r="116" spans="2:23" ht="21" x14ac:dyDescent="0.4">
      <c r="B116" s="272"/>
      <c r="C116" s="51"/>
      <c r="D116" s="51"/>
      <c r="E116" s="242"/>
      <c r="F116" s="41"/>
      <c r="G116" s="275"/>
      <c r="H116" s="103"/>
      <c r="I116" s="23"/>
      <c r="J116" s="244"/>
      <c r="K116" s="47"/>
      <c r="L116" s="47"/>
      <c r="M116" s="47"/>
      <c r="N116" s="64"/>
      <c r="O116" s="268"/>
      <c r="P116" s="143"/>
      <c r="Q116" s="13" t="s">
        <v>313</v>
      </c>
      <c r="R116" s="31">
        <v>1</v>
      </c>
      <c r="S116" s="29" t="b">
        <v>0</v>
      </c>
      <c r="T116" s="60"/>
      <c r="U116" s="60"/>
      <c r="V116" s="220"/>
      <c r="W116" s="284"/>
    </row>
    <row r="117" spans="2:23" ht="21" x14ac:dyDescent="0.4">
      <c r="B117" s="272"/>
      <c r="C117" s="51"/>
      <c r="D117" s="51"/>
      <c r="E117" s="242"/>
      <c r="F117" s="41"/>
      <c r="G117" s="275"/>
      <c r="H117" s="103"/>
      <c r="I117" s="23"/>
      <c r="J117" s="244"/>
      <c r="K117" s="47"/>
      <c r="L117" s="47"/>
      <c r="M117" s="47"/>
      <c r="N117" s="64"/>
      <c r="O117" s="268"/>
      <c r="P117" s="143"/>
      <c r="Q117" s="13" t="s">
        <v>314</v>
      </c>
      <c r="R117" s="31">
        <v>1</v>
      </c>
      <c r="S117" s="29" t="b">
        <v>0</v>
      </c>
      <c r="T117" s="60"/>
      <c r="U117" s="60"/>
      <c r="V117" s="220"/>
      <c r="W117" s="284"/>
    </row>
    <row r="118" spans="2:23" ht="21" x14ac:dyDescent="0.4">
      <c r="B118" s="272"/>
      <c r="C118" s="51"/>
      <c r="D118" s="51"/>
      <c r="E118" s="242"/>
      <c r="F118" s="41"/>
      <c r="G118" s="275"/>
      <c r="H118" s="103"/>
      <c r="I118" s="23"/>
      <c r="J118" s="244"/>
      <c r="K118" s="47"/>
      <c r="L118" s="47"/>
      <c r="M118" s="47"/>
      <c r="N118" s="64"/>
      <c r="O118" s="268"/>
      <c r="P118" s="143"/>
      <c r="Q118" s="13" t="s">
        <v>315</v>
      </c>
      <c r="R118" s="31">
        <v>1</v>
      </c>
      <c r="S118" s="29" t="b">
        <v>0</v>
      </c>
      <c r="T118" s="60"/>
      <c r="U118" s="60"/>
      <c r="V118" s="220"/>
      <c r="W118" s="284"/>
    </row>
    <row r="119" spans="2:23" ht="21" x14ac:dyDescent="0.4">
      <c r="B119" s="272"/>
      <c r="C119" s="51"/>
      <c r="D119" s="51"/>
      <c r="E119" s="242"/>
      <c r="F119" s="41"/>
      <c r="G119" s="275"/>
      <c r="H119" s="103"/>
      <c r="I119" s="23"/>
      <c r="J119" s="244"/>
      <c r="K119" s="47"/>
      <c r="L119" s="47"/>
      <c r="M119" s="47"/>
      <c r="N119" s="64"/>
      <c r="O119" s="268"/>
      <c r="P119" s="143"/>
      <c r="Q119" s="13" t="s">
        <v>316</v>
      </c>
      <c r="R119" s="31">
        <v>1</v>
      </c>
      <c r="S119" s="29" t="b">
        <v>0</v>
      </c>
      <c r="T119" s="60"/>
      <c r="U119" s="60"/>
      <c r="V119" s="220"/>
      <c r="W119" s="284"/>
    </row>
    <row r="120" spans="2:23" ht="21" x14ac:dyDescent="0.4">
      <c r="B120" s="272"/>
      <c r="C120" s="51"/>
      <c r="D120" s="51"/>
      <c r="E120" s="242"/>
      <c r="F120" s="41"/>
      <c r="G120" s="275"/>
      <c r="H120" s="103"/>
      <c r="I120" s="23"/>
      <c r="J120" s="244"/>
      <c r="K120" s="47"/>
      <c r="L120" s="47"/>
      <c r="M120" s="47"/>
      <c r="N120" s="64"/>
      <c r="O120" s="269"/>
      <c r="P120" s="144"/>
      <c r="Q120" s="13" t="s">
        <v>489</v>
      </c>
      <c r="R120" s="31">
        <v>1</v>
      </c>
      <c r="S120" s="29" t="b">
        <v>0</v>
      </c>
      <c r="T120" s="61"/>
      <c r="U120" s="61"/>
      <c r="V120" s="220"/>
      <c r="W120" s="285"/>
    </row>
    <row r="121" spans="2:23" ht="21" x14ac:dyDescent="0.4">
      <c r="B121" s="272"/>
      <c r="C121" s="51"/>
      <c r="D121" s="51"/>
      <c r="E121" s="242"/>
      <c r="F121" s="41"/>
      <c r="G121" s="275"/>
      <c r="H121" s="103"/>
      <c r="I121" s="23"/>
      <c r="J121" s="244"/>
      <c r="K121" s="47"/>
      <c r="L121" s="47"/>
      <c r="M121" s="47"/>
      <c r="N121" s="64"/>
      <c r="O121" s="267" t="s">
        <v>154</v>
      </c>
      <c r="P121" s="142">
        <f>K112*0.5</f>
        <v>1.4662000868055537E-2</v>
      </c>
      <c r="Q121" s="13" t="s">
        <v>317</v>
      </c>
      <c r="R121" s="31">
        <v>1</v>
      </c>
      <c r="S121" s="29" t="b">
        <v>0</v>
      </c>
      <c r="T121" s="55" cm="1">
        <f t="array" ref="T121">SUMPRODUCT(R121:R126,--S121:S126)</f>
        <v>0</v>
      </c>
      <c r="U121" s="56" cm="1">
        <f t="array" ref="U121">IF(
  6=0,
  "",
  _xlfn.IFS(
    T121/6&gt;=0.8, 5,
    T121/6&gt;=0.6, 4,
    T121/6&gt;=0.4, 3,
    T121/6&gt;=0.2, 2,
    T121/6&gt;=0.1, 1,
    TRUE, 0
  )
)</f>
        <v>0</v>
      </c>
      <c r="V121" s="212">
        <f>U121/5*P121*100</f>
        <v>0</v>
      </c>
      <c r="W121" s="283" t="s">
        <v>150</v>
      </c>
    </row>
    <row r="122" spans="2:23" ht="21" x14ac:dyDescent="0.4">
      <c r="B122" s="272"/>
      <c r="C122" s="51"/>
      <c r="D122" s="51"/>
      <c r="E122" s="242"/>
      <c r="F122" s="41"/>
      <c r="G122" s="275"/>
      <c r="H122" s="103"/>
      <c r="I122" s="23"/>
      <c r="J122" s="244"/>
      <c r="K122" s="47"/>
      <c r="L122" s="47"/>
      <c r="M122" s="47"/>
      <c r="N122" s="64"/>
      <c r="O122" s="268"/>
      <c r="P122" s="77"/>
      <c r="Q122" s="13" t="s">
        <v>318</v>
      </c>
      <c r="R122" s="31">
        <v>1</v>
      </c>
      <c r="S122" s="29" t="b">
        <v>0</v>
      </c>
      <c r="T122" s="60"/>
      <c r="U122" s="60"/>
      <c r="V122" s="220"/>
      <c r="W122" s="284"/>
    </row>
    <row r="123" spans="2:23" ht="21" x14ac:dyDescent="0.4">
      <c r="B123" s="272"/>
      <c r="C123" s="51"/>
      <c r="D123" s="51"/>
      <c r="E123" s="242"/>
      <c r="F123" s="41"/>
      <c r="G123" s="275"/>
      <c r="H123" s="103"/>
      <c r="I123" s="23"/>
      <c r="J123" s="244"/>
      <c r="K123" s="47"/>
      <c r="L123" s="47"/>
      <c r="M123" s="47"/>
      <c r="N123" s="64"/>
      <c r="O123" s="268"/>
      <c r="P123" s="77"/>
      <c r="Q123" s="13" t="s">
        <v>319</v>
      </c>
      <c r="R123" s="31">
        <v>1</v>
      </c>
      <c r="S123" s="29" t="b">
        <v>0</v>
      </c>
      <c r="T123" s="60"/>
      <c r="U123" s="60"/>
      <c r="V123" s="220"/>
      <c r="W123" s="284"/>
    </row>
    <row r="124" spans="2:23" ht="21" x14ac:dyDescent="0.4">
      <c r="B124" s="272"/>
      <c r="C124" s="51"/>
      <c r="D124" s="51"/>
      <c r="E124" s="242"/>
      <c r="F124" s="41"/>
      <c r="G124" s="275"/>
      <c r="H124" s="103"/>
      <c r="I124" s="23"/>
      <c r="J124" s="244"/>
      <c r="K124" s="47"/>
      <c r="L124" s="47"/>
      <c r="M124" s="47"/>
      <c r="N124" s="64"/>
      <c r="O124" s="268"/>
      <c r="P124" s="77"/>
      <c r="Q124" s="13" t="s">
        <v>320</v>
      </c>
      <c r="R124" s="31">
        <v>1</v>
      </c>
      <c r="S124" s="29" t="b">
        <v>0</v>
      </c>
      <c r="T124" s="60"/>
      <c r="U124" s="60"/>
      <c r="V124" s="220"/>
      <c r="W124" s="284"/>
    </row>
    <row r="125" spans="2:23" ht="21" x14ac:dyDescent="0.4">
      <c r="B125" s="272"/>
      <c r="C125" s="51"/>
      <c r="D125" s="51"/>
      <c r="E125" s="242"/>
      <c r="F125" s="41"/>
      <c r="G125" s="275"/>
      <c r="H125" s="103"/>
      <c r="I125" s="23"/>
      <c r="J125" s="244"/>
      <c r="K125" s="47"/>
      <c r="L125" s="47"/>
      <c r="M125" s="47"/>
      <c r="N125" s="64"/>
      <c r="O125" s="268"/>
      <c r="P125" s="77"/>
      <c r="Q125" s="13" t="s">
        <v>321</v>
      </c>
      <c r="R125" s="31">
        <v>1</v>
      </c>
      <c r="S125" s="29" t="b">
        <v>0</v>
      </c>
      <c r="T125" s="60"/>
      <c r="U125" s="60"/>
      <c r="V125" s="220"/>
      <c r="W125" s="284"/>
    </row>
    <row r="126" spans="2:23" ht="21" x14ac:dyDescent="0.4">
      <c r="B126" s="272"/>
      <c r="C126" s="51"/>
      <c r="D126" s="51"/>
      <c r="E126" s="242"/>
      <c r="F126" s="41"/>
      <c r="G126" s="276"/>
      <c r="H126" s="104"/>
      <c r="I126" s="24"/>
      <c r="J126" s="245"/>
      <c r="K126" s="46"/>
      <c r="L126" s="46"/>
      <c r="M126" s="46"/>
      <c r="N126" s="65"/>
      <c r="O126" s="269"/>
      <c r="P126" s="78"/>
      <c r="Q126" s="13" t="s">
        <v>322</v>
      </c>
      <c r="R126" s="31">
        <v>1</v>
      </c>
      <c r="S126" s="29" t="b">
        <v>0</v>
      </c>
      <c r="T126" s="61"/>
      <c r="U126" s="61"/>
      <c r="V126" s="220"/>
      <c r="W126" s="285"/>
    </row>
    <row r="127" spans="2:23" ht="21" x14ac:dyDescent="0.4">
      <c r="B127" s="272"/>
      <c r="C127" s="51"/>
      <c r="D127" s="51"/>
      <c r="E127" s="242"/>
      <c r="F127" s="41"/>
      <c r="G127" s="282" t="s">
        <v>180</v>
      </c>
      <c r="H127" s="93">
        <f>F92*0.385416666666667</f>
        <v>0.11321614583333335</v>
      </c>
      <c r="I127" s="123"/>
      <c r="J127" s="248" t="s">
        <v>25</v>
      </c>
      <c r="K127" s="41">
        <f>H127*0.375</f>
        <v>4.2456054687500008E-2</v>
      </c>
      <c r="L127" s="41"/>
      <c r="M127" s="41"/>
      <c r="N127" s="63"/>
      <c r="O127" s="267" t="s">
        <v>155</v>
      </c>
      <c r="P127" s="107">
        <f>K127*0.5</f>
        <v>2.1228027343750004E-2</v>
      </c>
      <c r="Q127" s="13" t="s">
        <v>323</v>
      </c>
      <c r="R127" s="31">
        <v>1</v>
      </c>
      <c r="S127" s="29" t="b">
        <v>0</v>
      </c>
      <c r="T127" s="55" cm="1">
        <f t="array" ref="T127">SUMPRODUCT(R127:R130,--S127:S130)</f>
        <v>0</v>
      </c>
      <c r="U127" s="56" cm="1">
        <f t="array" ref="U127">IF(
  4=0,
  "",
  _xlfn.IFS(
    T127/4&gt;=0.8, 5,
    T127/4&gt;=0.6, 4,
    T127/4&gt;=0.4, 3,
    T127/4&gt;=0.2, 2,
    T127/4&gt;=0.1, 1,
    TRUE, 0
  )
)</f>
        <v>0</v>
      </c>
      <c r="V127" s="212">
        <f>U127/5*P127*100</f>
        <v>0</v>
      </c>
      <c r="W127" s="283" t="s">
        <v>150</v>
      </c>
    </row>
    <row r="128" spans="2:23" ht="21" x14ac:dyDescent="0.4">
      <c r="B128" s="272"/>
      <c r="C128" s="51"/>
      <c r="D128" s="51"/>
      <c r="E128" s="242"/>
      <c r="F128" s="41"/>
      <c r="G128" s="275"/>
      <c r="H128" s="103"/>
      <c r="I128" s="124"/>
      <c r="J128" s="244"/>
      <c r="K128" s="47"/>
      <c r="L128" s="47"/>
      <c r="M128" s="47"/>
      <c r="N128" s="64"/>
      <c r="O128" s="268"/>
      <c r="P128" s="41"/>
      <c r="Q128" s="13" t="s">
        <v>324</v>
      </c>
      <c r="R128" s="31">
        <v>1</v>
      </c>
      <c r="S128" s="29" t="b">
        <v>0</v>
      </c>
      <c r="T128" s="60"/>
      <c r="U128" s="60"/>
      <c r="V128" s="220"/>
      <c r="W128" s="284"/>
    </row>
    <row r="129" spans="2:23" ht="21" x14ac:dyDescent="0.4">
      <c r="B129" s="272"/>
      <c r="C129" s="51"/>
      <c r="D129" s="51"/>
      <c r="E129" s="242"/>
      <c r="F129" s="41"/>
      <c r="G129" s="275"/>
      <c r="H129" s="103"/>
      <c r="I129" s="124"/>
      <c r="J129" s="244"/>
      <c r="K129" s="47"/>
      <c r="L129" s="47"/>
      <c r="M129" s="47"/>
      <c r="N129" s="64"/>
      <c r="O129" s="268"/>
      <c r="P129" s="41"/>
      <c r="Q129" s="13" t="s">
        <v>325</v>
      </c>
      <c r="R129" s="31">
        <v>1</v>
      </c>
      <c r="S129" s="29" t="b">
        <v>0</v>
      </c>
      <c r="T129" s="60"/>
      <c r="U129" s="60"/>
      <c r="V129" s="220"/>
      <c r="W129" s="284"/>
    </row>
    <row r="130" spans="2:23" ht="21" x14ac:dyDescent="0.4">
      <c r="B130" s="272"/>
      <c r="C130" s="51"/>
      <c r="D130" s="51"/>
      <c r="E130" s="242"/>
      <c r="F130" s="41"/>
      <c r="G130" s="275"/>
      <c r="H130" s="103"/>
      <c r="I130" s="124"/>
      <c r="J130" s="244"/>
      <c r="K130" s="47"/>
      <c r="L130" s="47"/>
      <c r="M130" s="47"/>
      <c r="N130" s="64"/>
      <c r="O130" s="269"/>
      <c r="P130" s="41"/>
      <c r="Q130" s="13" t="s">
        <v>326</v>
      </c>
      <c r="R130" s="31">
        <v>1</v>
      </c>
      <c r="S130" s="29" t="b">
        <v>0</v>
      </c>
      <c r="T130" s="61"/>
      <c r="U130" s="61"/>
      <c r="V130" s="220"/>
      <c r="W130" s="285"/>
    </row>
    <row r="131" spans="2:23" ht="21" x14ac:dyDescent="0.4">
      <c r="B131" s="272"/>
      <c r="C131" s="51"/>
      <c r="D131" s="51"/>
      <c r="E131" s="242"/>
      <c r="F131" s="41"/>
      <c r="G131" s="275"/>
      <c r="H131" s="103"/>
      <c r="I131" s="124"/>
      <c r="J131" s="244"/>
      <c r="K131" s="47"/>
      <c r="L131" s="47"/>
      <c r="M131" s="47"/>
      <c r="N131" s="64"/>
      <c r="O131" s="267" t="s">
        <v>156</v>
      </c>
      <c r="P131" s="147">
        <f>K127*0.5</f>
        <v>2.1228027343750004E-2</v>
      </c>
      <c r="Q131" s="13" t="s">
        <v>327</v>
      </c>
      <c r="R131" s="31">
        <v>1</v>
      </c>
      <c r="S131" s="29" t="b">
        <v>0</v>
      </c>
      <c r="T131" s="55" cm="1">
        <f t="array" ref="T131">SUMPRODUCT(R131:R136,--S131:S136)</f>
        <v>0</v>
      </c>
      <c r="U131" s="56" cm="1">
        <f t="array" ref="U131">IF(
 6=0,
  "",
  _xlfn.IFS(
    T131/6&gt;=0.8, 5,
    T131/6&gt;=0.6, 4,
    T131/6&gt;=0.4, 3,
    T131/6&gt;=0.2, 2,
    T131/6&gt;=0.1, 1,
    TRUE, 0
  )
)</f>
        <v>0</v>
      </c>
      <c r="V131" s="212">
        <f>U131/5*P131*100</f>
        <v>0</v>
      </c>
      <c r="W131" s="283" t="s">
        <v>150</v>
      </c>
    </row>
    <row r="132" spans="2:23" ht="21" x14ac:dyDescent="0.4">
      <c r="B132" s="272"/>
      <c r="C132" s="51"/>
      <c r="D132" s="51"/>
      <c r="E132" s="242"/>
      <c r="F132" s="41"/>
      <c r="G132" s="275"/>
      <c r="H132" s="103"/>
      <c r="I132" s="124"/>
      <c r="J132" s="244"/>
      <c r="K132" s="47"/>
      <c r="L132" s="47"/>
      <c r="M132" s="47"/>
      <c r="N132" s="64"/>
      <c r="O132" s="268"/>
      <c r="P132" s="47"/>
      <c r="Q132" s="13" t="s">
        <v>328</v>
      </c>
      <c r="R132" s="31">
        <v>1</v>
      </c>
      <c r="S132" s="29" t="b">
        <v>0</v>
      </c>
      <c r="T132" s="60"/>
      <c r="U132" s="60"/>
      <c r="V132" s="220"/>
      <c r="W132" s="284"/>
    </row>
    <row r="133" spans="2:23" ht="21" x14ac:dyDescent="0.4">
      <c r="B133" s="272"/>
      <c r="C133" s="51"/>
      <c r="D133" s="51"/>
      <c r="E133" s="242"/>
      <c r="F133" s="41"/>
      <c r="G133" s="275"/>
      <c r="H133" s="103"/>
      <c r="I133" s="124"/>
      <c r="J133" s="244"/>
      <c r="K133" s="47"/>
      <c r="L133" s="47"/>
      <c r="M133" s="47"/>
      <c r="N133" s="64"/>
      <c r="O133" s="268"/>
      <c r="P133" s="47"/>
      <c r="Q133" s="13" t="s">
        <v>329</v>
      </c>
      <c r="R133" s="31">
        <v>1</v>
      </c>
      <c r="S133" s="29" t="b">
        <v>0</v>
      </c>
      <c r="T133" s="60"/>
      <c r="U133" s="60"/>
      <c r="V133" s="220"/>
      <c r="W133" s="284"/>
    </row>
    <row r="134" spans="2:23" ht="21" x14ac:dyDescent="0.4">
      <c r="B134" s="272"/>
      <c r="C134" s="51"/>
      <c r="D134" s="51"/>
      <c r="E134" s="242"/>
      <c r="F134" s="41"/>
      <c r="G134" s="275"/>
      <c r="H134" s="103"/>
      <c r="I134" s="124"/>
      <c r="J134" s="244"/>
      <c r="K134" s="47"/>
      <c r="L134" s="47"/>
      <c r="M134" s="47"/>
      <c r="N134" s="64"/>
      <c r="O134" s="268"/>
      <c r="P134" s="47"/>
      <c r="Q134" s="13" t="s">
        <v>330</v>
      </c>
      <c r="R134" s="31">
        <v>1</v>
      </c>
      <c r="S134" s="29" t="b">
        <v>0</v>
      </c>
      <c r="T134" s="60"/>
      <c r="U134" s="60"/>
      <c r="V134" s="220"/>
      <c r="W134" s="284"/>
    </row>
    <row r="135" spans="2:23" ht="21" x14ac:dyDescent="0.4">
      <c r="B135" s="272"/>
      <c r="C135" s="51"/>
      <c r="D135" s="51"/>
      <c r="E135" s="242"/>
      <c r="F135" s="41"/>
      <c r="G135" s="275"/>
      <c r="H135" s="103"/>
      <c r="I135" s="124"/>
      <c r="J135" s="244"/>
      <c r="K135" s="47"/>
      <c r="L135" s="47"/>
      <c r="M135" s="47"/>
      <c r="N135" s="64"/>
      <c r="O135" s="268"/>
      <c r="P135" s="47"/>
      <c r="Q135" s="13" t="s">
        <v>331</v>
      </c>
      <c r="R135" s="31">
        <v>1</v>
      </c>
      <c r="S135" s="29" t="b">
        <v>0</v>
      </c>
      <c r="T135" s="60"/>
      <c r="U135" s="60"/>
      <c r="V135" s="220"/>
      <c r="W135" s="284"/>
    </row>
    <row r="136" spans="2:23" ht="21" x14ac:dyDescent="0.4">
      <c r="B136" s="272"/>
      <c r="C136" s="51"/>
      <c r="D136" s="51"/>
      <c r="E136" s="242"/>
      <c r="F136" s="41"/>
      <c r="G136" s="275"/>
      <c r="H136" s="103"/>
      <c r="I136" s="124"/>
      <c r="J136" s="244"/>
      <c r="K136" s="47"/>
      <c r="L136" s="47"/>
      <c r="M136" s="47"/>
      <c r="N136" s="64"/>
      <c r="O136" s="268"/>
      <c r="P136" s="47"/>
      <c r="Q136" s="13" t="s">
        <v>332</v>
      </c>
      <c r="R136" s="31">
        <v>1</v>
      </c>
      <c r="S136" s="29" t="b">
        <v>0</v>
      </c>
      <c r="T136" s="60"/>
      <c r="U136" s="60"/>
      <c r="V136" s="220"/>
      <c r="W136" s="284"/>
    </row>
    <row r="137" spans="2:23" ht="21" x14ac:dyDescent="0.4">
      <c r="B137" s="272"/>
      <c r="C137" s="51"/>
      <c r="D137" s="51"/>
      <c r="E137" s="242"/>
      <c r="F137" s="41"/>
      <c r="G137" s="275"/>
      <c r="H137" s="103"/>
      <c r="I137" s="124"/>
      <c r="J137" s="248" t="s">
        <v>179</v>
      </c>
      <c r="K137" s="151">
        <f>H127*0.4375</f>
        <v>4.9532063802083338E-2</v>
      </c>
      <c r="L137" s="151"/>
      <c r="M137" s="151"/>
      <c r="N137" s="150"/>
      <c r="O137" s="267" t="s">
        <v>157</v>
      </c>
      <c r="P137" s="84">
        <f>K137*0.5</f>
        <v>2.4766031901041669E-2</v>
      </c>
      <c r="Q137" s="13" t="s">
        <v>158</v>
      </c>
      <c r="R137" s="31">
        <v>4</v>
      </c>
      <c r="S137" s="29" t="b">
        <v>0</v>
      </c>
      <c r="T137" s="55" cm="1">
        <f t="array" ref="T137">SUMPRODUCT(R137:R141,--S137:S141)</f>
        <v>0</v>
      </c>
      <c r="U137" s="56"/>
      <c r="V137" s="212">
        <f>T137/R137*P137*100</f>
        <v>0</v>
      </c>
      <c r="W137" s="5"/>
    </row>
    <row r="138" spans="2:23" ht="21" x14ac:dyDescent="0.4">
      <c r="B138" s="272"/>
      <c r="C138" s="51"/>
      <c r="D138" s="51"/>
      <c r="E138" s="242"/>
      <c r="F138" s="41"/>
      <c r="G138" s="275"/>
      <c r="H138" s="103"/>
      <c r="I138" s="124"/>
      <c r="J138" s="244"/>
      <c r="K138" s="47"/>
      <c r="L138" s="47"/>
      <c r="M138" s="47"/>
      <c r="N138" s="64"/>
      <c r="O138" s="268"/>
      <c r="P138" s="286" t="s">
        <v>254</v>
      </c>
      <c r="Q138" s="13" t="s">
        <v>159</v>
      </c>
      <c r="R138" s="31">
        <v>3</v>
      </c>
      <c r="S138" s="29" t="b">
        <v>0</v>
      </c>
      <c r="T138" s="60"/>
      <c r="U138" s="60"/>
      <c r="V138" s="216"/>
      <c r="W138" s="5"/>
    </row>
    <row r="139" spans="2:23" ht="21" x14ac:dyDescent="0.4">
      <c r="B139" s="272"/>
      <c r="C139" s="51"/>
      <c r="D139" s="51"/>
      <c r="E139" s="242"/>
      <c r="F139" s="41"/>
      <c r="G139" s="275"/>
      <c r="H139" s="103"/>
      <c r="I139" s="124"/>
      <c r="J139" s="244"/>
      <c r="K139" s="47"/>
      <c r="L139" s="47"/>
      <c r="M139" s="47"/>
      <c r="N139" s="64"/>
      <c r="O139" s="268"/>
      <c r="P139" s="286"/>
      <c r="Q139" s="13" t="s">
        <v>160</v>
      </c>
      <c r="R139" s="31">
        <v>2</v>
      </c>
      <c r="S139" s="29" t="b">
        <v>0</v>
      </c>
      <c r="T139" s="60"/>
      <c r="U139" s="60"/>
      <c r="V139" s="216"/>
      <c r="W139" s="5"/>
    </row>
    <row r="140" spans="2:23" ht="21" x14ac:dyDescent="0.4">
      <c r="B140" s="272"/>
      <c r="C140" s="51"/>
      <c r="D140" s="51"/>
      <c r="E140" s="242"/>
      <c r="F140" s="41"/>
      <c r="G140" s="275"/>
      <c r="H140" s="103"/>
      <c r="I140" s="124"/>
      <c r="J140" s="244"/>
      <c r="K140" s="47"/>
      <c r="L140" s="47"/>
      <c r="M140" s="47"/>
      <c r="N140" s="64"/>
      <c r="O140" s="268"/>
      <c r="P140" s="286"/>
      <c r="Q140" s="13" t="s">
        <v>161</v>
      </c>
      <c r="R140" s="31">
        <v>1</v>
      </c>
      <c r="S140" s="29" t="b">
        <v>0</v>
      </c>
      <c r="T140" s="60"/>
      <c r="U140" s="60"/>
      <c r="V140" s="216"/>
      <c r="W140" s="5"/>
    </row>
    <row r="141" spans="2:23" ht="21" x14ac:dyDescent="0.4">
      <c r="B141" s="272"/>
      <c r="C141" s="51"/>
      <c r="D141" s="51"/>
      <c r="E141" s="242"/>
      <c r="F141" s="41"/>
      <c r="G141" s="275"/>
      <c r="H141" s="103"/>
      <c r="I141" s="124"/>
      <c r="J141" s="244"/>
      <c r="K141" s="47"/>
      <c r="L141" s="47"/>
      <c r="M141" s="47"/>
      <c r="N141" s="64"/>
      <c r="O141" s="269"/>
      <c r="P141" s="286"/>
      <c r="Q141" s="13" t="s">
        <v>162</v>
      </c>
      <c r="R141" s="31">
        <v>0</v>
      </c>
      <c r="S141" s="29" t="b">
        <v>0</v>
      </c>
      <c r="T141" s="61"/>
      <c r="U141" s="61"/>
      <c r="V141" s="216"/>
      <c r="W141" s="5"/>
    </row>
    <row r="142" spans="2:23" ht="21" x14ac:dyDescent="0.4">
      <c r="B142" s="272"/>
      <c r="C142" s="51"/>
      <c r="D142" s="51"/>
      <c r="E142" s="242"/>
      <c r="F142" s="41"/>
      <c r="G142" s="275"/>
      <c r="H142" s="103"/>
      <c r="I142" s="124"/>
      <c r="J142" s="244"/>
      <c r="K142" s="47"/>
      <c r="L142" s="47"/>
      <c r="M142" s="47"/>
      <c r="N142" s="64"/>
      <c r="O142" s="267" t="s">
        <v>169</v>
      </c>
      <c r="P142" s="286"/>
      <c r="Q142" s="13" t="s">
        <v>163</v>
      </c>
      <c r="R142" s="31">
        <v>3</v>
      </c>
      <c r="S142" s="29" t="b">
        <v>0</v>
      </c>
      <c r="T142" s="55" cm="1">
        <f t="array" ref="T142">SUMPRODUCT(R142:R145,--S142:S145)</f>
        <v>0</v>
      </c>
      <c r="U142" s="56"/>
      <c r="V142" s="212">
        <f>T142/R142*P137*100</f>
        <v>0</v>
      </c>
      <c r="W142" s="5"/>
    </row>
    <row r="143" spans="2:23" ht="21" x14ac:dyDescent="0.4">
      <c r="B143" s="272"/>
      <c r="C143" s="51"/>
      <c r="D143" s="51"/>
      <c r="E143" s="242"/>
      <c r="F143" s="41"/>
      <c r="G143" s="275"/>
      <c r="H143" s="103"/>
      <c r="I143" s="124"/>
      <c r="J143" s="244"/>
      <c r="K143" s="47"/>
      <c r="L143" s="47"/>
      <c r="M143" s="47"/>
      <c r="N143" s="64"/>
      <c r="O143" s="268"/>
      <c r="P143" s="286"/>
      <c r="Q143" s="13" t="s">
        <v>164</v>
      </c>
      <c r="R143" s="31">
        <v>2</v>
      </c>
      <c r="S143" s="29" t="b">
        <v>0</v>
      </c>
      <c r="T143" s="60"/>
      <c r="U143" s="60"/>
      <c r="V143" s="216"/>
      <c r="W143" s="5"/>
    </row>
    <row r="144" spans="2:23" ht="21" x14ac:dyDescent="0.4">
      <c r="B144" s="272"/>
      <c r="C144" s="51"/>
      <c r="D144" s="51"/>
      <c r="E144" s="242"/>
      <c r="F144" s="41"/>
      <c r="G144" s="275"/>
      <c r="H144" s="103"/>
      <c r="I144" s="124"/>
      <c r="J144" s="244"/>
      <c r="K144" s="47"/>
      <c r="L144" s="47"/>
      <c r="M144" s="47"/>
      <c r="N144" s="64"/>
      <c r="O144" s="268"/>
      <c r="P144" s="286"/>
      <c r="Q144" s="13" t="s">
        <v>165</v>
      </c>
      <c r="R144" s="31">
        <v>1</v>
      </c>
      <c r="S144" s="29" t="b">
        <v>0</v>
      </c>
      <c r="T144" s="60"/>
      <c r="U144" s="60"/>
      <c r="V144" s="216"/>
      <c r="W144" s="5"/>
    </row>
    <row r="145" spans="2:23" ht="21" x14ac:dyDescent="0.4">
      <c r="B145" s="272"/>
      <c r="C145" s="51"/>
      <c r="D145" s="51"/>
      <c r="E145" s="242"/>
      <c r="F145" s="41"/>
      <c r="G145" s="275"/>
      <c r="H145" s="103"/>
      <c r="I145" s="124"/>
      <c r="J145" s="244"/>
      <c r="K145" s="47"/>
      <c r="L145" s="47"/>
      <c r="M145" s="47"/>
      <c r="N145" s="64"/>
      <c r="O145" s="269"/>
      <c r="P145" s="287"/>
      <c r="Q145" s="13" t="s">
        <v>166</v>
      </c>
      <c r="R145" s="31">
        <v>0</v>
      </c>
      <c r="S145" s="29" t="b">
        <v>0</v>
      </c>
      <c r="T145" s="61"/>
      <c r="U145" s="61"/>
      <c r="V145" s="216"/>
      <c r="W145" s="5"/>
    </row>
    <row r="146" spans="2:23" ht="21" x14ac:dyDescent="0.4">
      <c r="B146" s="272"/>
      <c r="C146" s="51"/>
      <c r="D146" s="51"/>
      <c r="E146" s="242"/>
      <c r="F146" s="41"/>
      <c r="G146" s="275"/>
      <c r="H146" s="103"/>
      <c r="I146" s="124"/>
      <c r="J146" s="244"/>
      <c r="K146" s="47"/>
      <c r="L146" s="47"/>
      <c r="M146" s="47"/>
      <c r="N146" s="64"/>
      <c r="O146" s="267" t="s">
        <v>167</v>
      </c>
      <c r="P146" s="81">
        <f>K137*0.5</f>
        <v>2.4766031901041669E-2</v>
      </c>
      <c r="Q146" s="13" t="s">
        <v>168</v>
      </c>
      <c r="R146" s="31">
        <v>9</v>
      </c>
      <c r="S146" s="29" t="b">
        <v>0</v>
      </c>
      <c r="T146" s="55" cm="1">
        <f t="array" ref="T146">SUMPRODUCT(R146:R155,--S146:S155)</f>
        <v>0</v>
      </c>
      <c r="U146" s="56"/>
      <c r="V146" s="212">
        <f>T146/R146*P146*100</f>
        <v>0</v>
      </c>
      <c r="W146" s="5"/>
    </row>
    <row r="147" spans="2:23" ht="21" x14ac:dyDescent="0.4">
      <c r="B147" s="272"/>
      <c r="C147" s="51"/>
      <c r="D147" s="51"/>
      <c r="E147" s="242"/>
      <c r="F147" s="41"/>
      <c r="G147" s="275"/>
      <c r="H147" s="103"/>
      <c r="I147" s="124"/>
      <c r="J147" s="244"/>
      <c r="K147" s="47"/>
      <c r="L147" s="47"/>
      <c r="M147" s="47"/>
      <c r="N147" s="64"/>
      <c r="O147" s="268"/>
      <c r="P147" s="77"/>
      <c r="Q147" s="13" t="s">
        <v>170</v>
      </c>
      <c r="R147" s="31">
        <v>8</v>
      </c>
      <c r="S147" s="29" t="b">
        <v>0</v>
      </c>
      <c r="T147" s="60"/>
      <c r="U147" s="60"/>
      <c r="V147" s="216"/>
      <c r="W147" s="5"/>
    </row>
    <row r="148" spans="2:23" ht="21" x14ac:dyDescent="0.4">
      <c r="B148" s="272"/>
      <c r="C148" s="51"/>
      <c r="D148" s="51"/>
      <c r="E148" s="242"/>
      <c r="F148" s="41"/>
      <c r="G148" s="275"/>
      <c r="H148" s="103"/>
      <c r="I148" s="124"/>
      <c r="J148" s="244"/>
      <c r="K148" s="47"/>
      <c r="L148" s="47"/>
      <c r="M148" s="47"/>
      <c r="N148" s="64"/>
      <c r="O148" s="268"/>
      <c r="P148" s="77"/>
      <c r="Q148" s="13" t="s">
        <v>172</v>
      </c>
      <c r="R148" s="31">
        <v>7</v>
      </c>
      <c r="S148" s="29" t="b">
        <v>0</v>
      </c>
      <c r="T148" s="60"/>
      <c r="U148" s="60"/>
      <c r="V148" s="216"/>
      <c r="W148" s="5"/>
    </row>
    <row r="149" spans="2:23" ht="21" x14ac:dyDescent="0.4">
      <c r="B149" s="272"/>
      <c r="C149" s="51"/>
      <c r="D149" s="51"/>
      <c r="E149" s="242"/>
      <c r="F149" s="41"/>
      <c r="G149" s="275"/>
      <c r="H149" s="103"/>
      <c r="I149" s="124"/>
      <c r="J149" s="244"/>
      <c r="K149" s="47"/>
      <c r="L149" s="47"/>
      <c r="M149" s="47"/>
      <c r="N149" s="64"/>
      <c r="O149" s="268"/>
      <c r="P149" s="77"/>
      <c r="Q149" s="13" t="s">
        <v>181</v>
      </c>
      <c r="R149" s="31">
        <v>6</v>
      </c>
      <c r="S149" s="29" t="b">
        <v>0</v>
      </c>
      <c r="T149" s="60"/>
      <c r="U149" s="60"/>
      <c r="V149" s="216"/>
      <c r="W149" s="5"/>
    </row>
    <row r="150" spans="2:23" ht="21" x14ac:dyDescent="0.4">
      <c r="B150" s="272"/>
      <c r="C150" s="51"/>
      <c r="D150" s="51"/>
      <c r="E150" s="242"/>
      <c r="F150" s="41"/>
      <c r="G150" s="275"/>
      <c r="H150" s="103"/>
      <c r="I150" s="124"/>
      <c r="J150" s="244"/>
      <c r="K150" s="47"/>
      <c r="L150" s="47"/>
      <c r="M150" s="47"/>
      <c r="N150" s="64"/>
      <c r="O150" s="268"/>
      <c r="P150" s="77"/>
      <c r="Q150" s="13" t="s">
        <v>171</v>
      </c>
      <c r="R150" s="31">
        <v>5</v>
      </c>
      <c r="S150" s="29" t="b">
        <v>0</v>
      </c>
      <c r="T150" s="60"/>
      <c r="U150" s="60"/>
      <c r="V150" s="216"/>
      <c r="W150" s="5"/>
    </row>
    <row r="151" spans="2:23" ht="21" x14ac:dyDescent="0.4">
      <c r="B151" s="272"/>
      <c r="C151" s="51"/>
      <c r="D151" s="51"/>
      <c r="E151" s="242"/>
      <c r="F151" s="41"/>
      <c r="G151" s="275"/>
      <c r="H151" s="103"/>
      <c r="I151" s="124"/>
      <c r="J151" s="244"/>
      <c r="K151" s="47"/>
      <c r="L151" s="47"/>
      <c r="M151" s="47"/>
      <c r="N151" s="64"/>
      <c r="O151" s="268"/>
      <c r="P151" s="77"/>
      <c r="Q151" s="13" t="s">
        <v>173</v>
      </c>
      <c r="R151" s="31">
        <v>4</v>
      </c>
      <c r="S151" s="29" t="b">
        <v>0</v>
      </c>
      <c r="T151" s="60"/>
      <c r="U151" s="60"/>
      <c r="V151" s="216"/>
      <c r="W151" s="5"/>
    </row>
    <row r="152" spans="2:23" ht="21" x14ac:dyDescent="0.4">
      <c r="B152" s="272"/>
      <c r="C152" s="51"/>
      <c r="D152" s="51"/>
      <c r="E152" s="242"/>
      <c r="F152" s="41"/>
      <c r="G152" s="275"/>
      <c r="H152" s="103"/>
      <c r="I152" s="124"/>
      <c r="J152" s="244"/>
      <c r="K152" s="47"/>
      <c r="L152" s="47"/>
      <c r="M152" s="47"/>
      <c r="N152" s="64"/>
      <c r="O152" s="268"/>
      <c r="P152" s="77"/>
      <c r="Q152" s="13" t="s">
        <v>174</v>
      </c>
      <c r="R152" s="31">
        <v>3</v>
      </c>
      <c r="S152" s="29" t="b">
        <v>0</v>
      </c>
      <c r="T152" s="60"/>
      <c r="U152" s="60"/>
      <c r="V152" s="216"/>
      <c r="W152" s="5"/>
    </row>
    <row r="153" spans="2:23" ht="21" x14ac:dyDescent="0.4">
      <c r="B153" s="272"/>
      <c r="C153" s="51"/>
      <c r="D153" s="51"/>
      <c r="E153" s="242"/>
      <c r="F153" s="41"/>
      <c r="G153" s="275"/>
      <c r="H153" s="103"/>
      <c r="I153" s="124"/>
      <c r="J153" s="244"/>
      <c r="K153" s="47"/>
      <c r="L153" s="47"/>
      <c r="M153" s="47"/>
      <c r="N153" s="64"/>
      <c r="O153" s="268"/>
      <c r="P153" s="77"/>
      <c r="Q153" s="13" t="s">
        <v>175</v>
      </c>
      <c r="R153" s="31">
        <v>2</v>
      </c>
      <c r="S153" s="29" t="b">
        <v>0</v>
      </c>
      <c r="T153" s="60"/>
      <c r="U153" s="60"/>
      <c r="V153" s="216"/>
      <c r="W153" s="5"/>
    </row>
    <row r="154" spans="2:23" ht="21" x14ac:dyDescent="0.4">
      <c r="B154" s="272"/>
      <c r="C154" s="51"/>
      <c r="D154" s="51"/>
      <c r="E154" s="242"/>
      <c r="F154" s="41"/>
      <c r="G154" s="275"/>
      <c r="H154" s="103"/>
      <c r="I154" s="124"/>
      <c r="J154" s="244"/>
      <c r="K154" s="47"/>
      <c r="L154" s="47"/>
      <c r="M154" s="47"/>
      <c r="N154" s="64"/>
      <c r="O154" s="268"/>
      <c r="P154" s="77"/>
      <c r="Q154" s="13" t="s">
        <v>176</v>
      </c>
      <c r="R154" s="31">
        <v>1</v>
      </c>
      <c r="S154" s="29" t="b">
        <v>0</v>
      </c>
      <c r="T154" s="60"/>
      <c r="U154" s="60"/>
      <c r="V154" s="216"/>
      <c r="W154" s="5"/>
    </row>
    <row r="155" spans="2:23" ht="21" x14ac:dyDescent="0.4">
      <c r="B155" s="272"/>
      <c r="C155" s="51"/>
      <c r="D155" s="51"/>
      <c r="E155" s="242"/>
      <c r="F155" s="41"/>
      <c r="G155" s="275"/>
      <c r="H155" s="103"/>
      <c r="I155" s="124"/>
      <c r="J155" s="245"/>
      <c r="K155" s="46"/>
      <c r="L155" s="46"/>
      <c r="M155" s="46"/>
      <c r="N155" s="65"/>
      <c r="O155" s="269"/>
      <c r="P155" s="78"/>
      <c r="Q155" s="13" t="s">
        <v>177</v>
      </c>
      <c r="R155" s="31">
        <v>0</v>
      </c>
      <c r="S155" s="29" t="b">
        <v>0</v>
      </c>
      <c r="T155" s="61"/>
      <c r="U155" s="61"/>
      <c r="V155" s="216"/>
      <c r="W155" s="5"/>
    </row>
    <row r="156" spans="2:23" ht="21" x14ac:dyDescent="0.4">
      <c r="B156" s="272"/>
      <c r="C156" s="51"/>
      <c r="D156" s="51"/>
      <c r="E156" s="242"/>
      <c r="F156" s="41"/>
      <c r="G156" s="275"/>
      <c r="H156" s="103"/>
      <c r="I156" s="124"/>
      <c r="J156" s="248" t="s">
        <v>26</v>
      </c>
      <c r="K156" s="41">
        <f>H127*0.1875</f>
        <v>2.1228027343750004E-2</v>
      </c>
      <c r="L156" s="41"/>
      <c r="M156" s="41"/>
      <c r="N156" s="63"/>
      <c r="O156" s="7"/>
      <c r="P156" s="79"/>
      <c r="Q156" s="13" t="s">
        <v>394</v>
      </c>
      <c r="R156" s="31">
        <v>1</v>
      </c>
      <c r="S156" s="29" t="b">
        <v>0</v>
      </c>
      <c r="T156" s="55" cm="1">
        <f t="array" ref="T156">SUMPRODUCT(R156:R161,--S156:S161)</f>
        <v>0</v>
      </c>
      <c r="U156" s="56" cm="1">
        <f t="array" ref="U156">IF(
 6=0,
  "",
  _xlfn.IFS(
    T156/6&gt;=0.8, 5,
    T156/6&gt;=0.6, 4,
    T156/6&gt;=0.4, 3,
    T156/6&gt;=0.2, 2,
    T156/6&gt;=0.1, 1,
    TRUE, 0
  )
)</f>
        <v>0</v>
      </c>
      <c r="V156" s="212">
        <f>U156/5*K156*100</f>
        <v>0</v>
      </c>
      <c r="W156" s="283" t="s">
        <v>150</v>
      </c>
    </row>
    <row r="157" spans="2:23" ht="21" x14ac:dyDescent="0.4">
      <c r="B157" s="272"/>
      <c r="C157" s="51"/>
      <c r="D157" s="51"/>
      <c r="E157" s="242"/>
      <c r="F157" s="41"/>
      <c r="G157" s="275"/>
      <c r="H157" s="103"/>
      <c r="I157" s="124"/>
      <c r="J157" s="244"/>
      <c r="K157" s="47"/>
      <c r="L157" s="47"/>
      <c r="M157" s="47"/>
      <c r="N157" s="64"/>
      <c r="O157" s="7"/>
      <c r="P157" s="79"/>
      <c r="Q157" s="13" t="s">
        <v>395</v>
      </c>
      <c r="R157" s="31">
        <v>1</v>
      </c>
      <c r="S157" s="29" t="b">
        <v>0</v>
      </c>
      <c r="T157" s="60"/>
      <c r="U157" s="60"/>
      <c r="V157" s="220"/>
      <c r="W157" s="284"/>
    </row>
    <row r="158" spans="2:23" ht="21" x14ac:dyDescent="0.4">
      <c r="B158" s="272"/>
      <c r="C158" s="51"/>
      <c r="D158" s="51"/>
      <c r="E158" s="242"/>
      <c r="F158" s="41"/>
      <c r="G158" s="275"/>
      <c r="H158" s="103"/>
      <c r="I158" s="124"/>
      <c r="J158" s="244"/>
      <c r="K158" s="47"/>
      <c r="L158" s="47"/>
      <c r="M158" s="47"/>
      <c r="N158" s="64"/>
      <c r="O158" s="7"/>
      <c r="P158" s="79"/>
      <c r="Q158" s="13" t="s">
        <v>396</v>
      </c>
      <c r="R158" s="31">
        <v>1</v>
      </c>
      <c r="S158" s="29" t="b">
        <v>0</v>
      </c>
      <c r="T158" s="60"/>
      <c r="U158" s="60"/>
      <c r="V158" s="220"/>
      <c r="W158" s="284"/>
    </row>
    <row r="159" spans="2:23" ht="21" x14ac:dyDescent="0.4">
      <c r="B159" s="272"/>
      <c r="C159" s="51"/>
      <c r="D159" s="51"/>
      <c r="E159" s="242"/>
      <c r="F159" s="41"/>
      <c r="G159" s="275"/>
      <c r="H159" s="103"/>
      <c r="I159" s="124"/>
      <c r="J159" s="244"/>
      <c r="K159" s="47"/>
      <c r="L159" s="47"/>
      <c r="M159" s="47"/>
      <c r="N159" s="64"/>
      <c r="O159" s="7"/>
      <c r="P159" s="79"/>
      <c r="Q159" s="13" t="s">
        <v>397</v>
      </c>
      <c r="R159" s="31">
        <v>1</v>
      </c>
      <c r="S159" s="29" t="b">
        <v>0</v>
      </c>
      <c r="T159" s="60"/>
      <c r="U159" s="60"/>
      <c r="V159" s="220"/>
      <c r="W159" s="284"/>
    </row>
    <row r="160" spans="2:23" ht="21" x14ac:dyDescent="0.4">
      <c r="B160" s="272"/>
      <c r="C160" s="51"/>
      <c r="D160" s="51"/>
      <c r="E160" s="242"/>
      <c r="F160" s="41"/>
      <c r="G160" s="275"/>
      <c r="H160" s="103"/>
      <c r="I160" s="124"/>
      <c r="J160" s="244"/>
      <c r="K160" s="47"/>
      <c r="L160" s="47"/>
      <c r="M160" s="47"/>
      <c r="N160" s="64"/>
      <c r="O160" s="7"/>
      <c r="P160" s="79"/>
      <c r="Q160" s="13" t="s">
        <v>398</v>
      </c>
      <c r="R160" s="31">
        <v>1</v>
      </c>
      <c r="S160" s="29" t="b">
        <v>0</v>
      </c>
      <c r="T160" s="60"/>
      <c r="U160" s="60"/>
      <c r="V160" s="220"/>
      <c r="W160" s="284"/>
    </row>
    <row r="161" spans="2:23" ht="21" x14ac:dyDescent="0.4">
      <c r="B161" s="272"/>
      <c r="C161" s="51"/>
      <c r="D161" s="51"/>
      <c r="E161" s="242"/>
      <c r="F161" s="41"/>
      <c r="G161" s="276"/>
      <c r="H161" s="104"/>
      <c r="I161" s="125"/>
      <c r="J161" s="245"/>
      <c r="K161" s="46"/>
      <c r="L161" s="46"/>
      <c r="M161" s="46"/>
      <c r="N161" s="65"/>
      <c r="O161" s="7"/>
      <c r="P161" s="79"/>
      <c r="Q161" s="13" t="s">
        <v>399</v>
      </c>
      <c r="R161" s="31">
        <v>1</v>
      </c>
      <c r="S161" s="29" t="b">
        <v>0</v>
      </c>
      <c r="T161" s="61"/>
      <c r="U161" s="61"/>
      <c r="V161" s="220"/>
      <c r="W161" s="285"/>
    </row>
    <row r="162" spans="2:23" ht="21" x14ac:dyDescent="0.4">
      <c r="B162" s="272"/>
      <c r="C162" s="51"/>
      <c r="D162" s="51"/>
      <c r="E162" s="242"/>
      <c r="F162" s="41"/>
      <c r="G162" s="282" t="s">
        <v>193</v>
      </c>
      <c r="H162" s="93">
        <f>F92*0.197916666666667</f>
        <v>5.8138020833333387E-2</v>
      </c>
      <c r="I162" s="123"/>
      <c r="J162" s="248" t="s">
        <v>27</v>
      </c>
      <c r="K162" s="41">
        <f>H162*0.479166666666667</f>
        <v>2.78578016493056E-2</v>
      </c>
      <c r="L162" s="41"/>
      <c r="M162" s="41"/>
      <c r="N162" s="63"/>
      <c r="O162" s="267" t="s">
        <v>269</v>
      </c>
      <c r="P162" s="226">
        <f>K162*0.375</f>
        <v>1.0446675618489601E-2</v>
      </c>
      <c r="Q162" s="13" t="s">
        <v>333</v>
      </c>
      <c r="R162" s="31">
        <v>1</v>
      </c>
      <c r="S162" s="29" t="b">
        <v>0</v>
      </c>
      <c r="T162" s="55" cm="1">
        <f t="array" ref="T162">SUMPRODUCT(R162:R167,--S162:S167)</f>
        <v>0</v>
      </c>
      <c r="U162" s="56" cm="1">
        <f t="array" ref="U162">IF(
 6=0,
  "",
  _xlfn.IFS(
    T162/6&gt;=0.8, 5,
    T162/6&gt;=0.6, 4,
    T162/6&gt;=0.4, 3,
    T162/6&gt;=0.2, 2,
    T162/6&gt;=0.1, 1,
    TRUE, 0
  )
)</f>
        <v>0</v>
      </c>
      <c r="V162" s="212">
        <f>U162/5*P162*100</f>
        <v>0</v>
      </c>
      <c r="W162" s="283" t="s">
        <v>150</v>
      </c>
    </row>
    <row r="163" spans="2:23" ht="21" x14ac:dyDescent="0.4">
      <c r="B163" s="272"/>
      <c r="C163" s="51"/>
      <c r="D163" s="51"/>
      <c r="E163" s="242"/>
      <c r="F163" s="41"/>
      <c r="G163" s="275"/>
      <c r="H163" s="103"/>
      <c r="I163" s="124"/>
      <c r="J163" s="244"/>
      <c r="K163" s="47"/>
      <c r="L163" s="47"/>
      <c r="M163" s="47"/>
      <c r="N163" s="64"/>
      <c r="O163" s="284"/>
      <c r="P163" s="85"/>
      <c r="Q163" s="13" t="s">
        <v>334</v>
      </c>
      <c r="R163" s="31">
        <v>1</v>
      </c>
      <c r="S163" s="29" t="b">
        <v>0</v>
      </c>
      <c r="T163" s="60"/>
      <c r="U163" s="60"/>
      <c r="V163" s="220"/>
      <c r="W163" s="284"/>
    </row>
    <row r="164" spans="2:23" ht="21" x14ac:dyDescent="0.4">
      <c r="B164" s="272"/>
      <c r="C164" s="51"/>
      <c r="D164" s="51"/>
      <c r="E164" s="242"/>
      <c r="F164" s="41"/>
      <c r="G164" s="275"/>
      <c r="H164" s="103"/>
      <c r="I164" s="124"/>
      <c r="J164" s="244"/>
      <c r="K164" s="47"/>
      <c r="L164" s="47"/>
      <c r="M164" s="47"/>
      <c r="N164" s="64"/>
      <c r="O164" s="284"/>
      <c r="P164" s="85"/>
      <c r="Q164" s="13" t="s">
        <v>335</v>
      </c>
      <c r="R164" s="31">
        <v>1</v>
      </c>
      <c r="S164" s="29" t="b">
        <v>0</v>
      </c>
      <c r="T164" s="60"/>
      <c r="U164" s="60"/>
      <c r="V164" s="220"/>
      <c r="W164" s="284"/>
    </row>
    <row r="165" spans="2:23" ht="21" x14ac:dyDescent="0.4">
      <c r="B165" s="272"/>
      <c r="C165" s="51"/>
      <c r="D165" s="51"/>
      <c r="E165" s="242"/>
      <c r="F165" s="41"/>
      <c r="G165" s="275"/>
      <c r="H165" s="103"/>
      <c r="I165" s="124"/>
      <c r="J165" s="244"/>
      <c r="K165" s="47"/>
      <c r="L165" s="47"/>
      <c r="M165" s="47"/>
      <c r="N165" s="64"/>
      <c r="O165" s="284"/>
      <c r="P165" s="85"/>
      <c r="Q165" s="13" t="s">
        <v>336</v>
      </c>
      <c r="R165" s="31">
        <v>1</v>
      </c>
      <c r="S165" s="29" t="b">
        <v>0</v>
      </c>
      <c r="T165" s="60"/>
      <c r="U165" s="60"/>
      <c r="V165" s="220"/>
      <c r="W165" s="284"/>
    </row>
    <row r="166" spans="2:23" ht="21" x14ac:dyDescent="0.4">
      <c r="B166" s="272"/>
      <c r="C166" s="51"/>
      <c r="D166" s="51"/>
      <c r="E166" s="242"/>
      <c r="F166" s="41"/>
      <c r="G166" s="275"/>
      <c r="H166" s="103"/>
      <c r="I166" s="124"/>
      <c r="J166" s="244"/>
      <c r="K166" s="47"/>
      <c r="L166" s="47"/>
      <c r="M166" s="47"/>
      <c r="N166" s="64"/>
      <c r="O166" s="284"/>
      <c r="P166" s="85"/>
      <c r="Q166" s="13" t="s">
        <v>337</v>
      </c>
      <c r="R166" s="31">
        <v>1</v>
      </c>
      <c r="S166" s="29" t="b">
        <v>0</v>
      </c>
      <c r="T166" s="60"/>
      <c r="U166" s="60"/>
      <c r="V166" s="220"/>
      <c r="W166" s="284"/>
    </row>
    <row r="167" spans="2:23" ht="21" x14ac:dyDescent="0.4">
      <c r="B167" s="272"/>
      <c r="C167" s="51"/>
      <c r="D167" s="51"/>
      <c r="E167" s="242"/>
      <c r="F167" s="41"/>
      <c r="G167" s="275"/>
      <c r="H167" s="103"/>
      <c r="I167" s="124"/>
      <c r="J167" s="244"/>
      <c r="K167" s="47"/>
      <c r="L167" s="47"/>
      <c r="M167" s="47"/>
      <c r="N167" s="64"/>
      <c r="O167" s="285"/>
      <c r="P167" s="85"/>
      <c r="Q167" s="13" t="s">
        <v>338</v>
      </c>
      <c r="R167" s="31">
        <v>1</v>
      </c>
      <c r="S167" s="29" t="b">
        <v>0</v>
      </c>
      <c r="T167" s="60"/>
      <c r="U167" s="60"/>
      <c r="V167" s="220"/>
      <c r="W167" s="284"/>
    </row>
    <row r="168" spans="2:23" ht="21" x14ac:dyDescent="0.4">
      <c r="B168" s="272"/>
      <c r="C168" s="51"/>
      <c r="D168" s="51"/>
      <c r="E168" s="242"/>
      <c r="F168" s="41"/>
      <c r="G168" s="275"/>
      <c r="H168" s="103"/>
      <c r="I168" s="124"/>
      <c r="J168" s="244"/>
      <c r="K168" s="47"/>
      <c r="L168" s="47"/>
      <c r="M168" s="47"/>
      <c r="N168" s="64"/>
      <c r="O168" s="267" t="s">
        <v>270</v>
      </c>
      <c r="P168" s="226">
        <f>K162*0.1875</f>
        <v>5.2233378092448003E-3</v>
      </c>
      <c r="Q168" s="13" t="s">
        <v>339</v>
      </c>
      <c r="R168" s="31">
        <v>1</v>
      </c>
      <c r="S168" s="29" t="b">
        <v>0</v>
      </c>
      <c r="T168" s="55" cm="1">
        <f t="array" ref="T168">SUMPRODUCT(R168:R170,--S168:S170)</f>
        <v>0</v>
      </c>
      <c r="U168" s="56" cm="1">
        <f t="array" ref="U168">IF(
 3=0,
  "",
  _xlfn.IFS(
    T168/3&gt;=0.8, 5,
    T168/3&gt;=0.6, 4,
    T168/3&gt;=0.4, 3,
    T168/3&gt;=0.2, 2,
    T168/3&gt;=0.1, 1,
    TRUE, 0
  )
)</f>
        <v>0</v>
      </c>
      <c r="V168" s="212">
        <f>U168/5*P168*100</f>
        <v>0</v>
      </c>
      <c r="W168" s="284"/>
    </row>
    <row r="169" spans="2:23" ht="21" x14ac:dyDescent="0.4">
      <c r="B169" s="272"/>
      <c r="C169" s="51"/>
      <c r="D169" s="51"/>
      <c r="E169" s="242"/>
      <c r="F169" s="41"/>
      <c r="G169" s="275"/>
      <c r="H169" s="103"/>
      <c r="I169" s="124"/>
      <c r="J169" s="244"/>
      <c r="K169" s="47"/>
      <c r="L169" s="47"/>
      <c r="M169" s="47"/>
      <c r="N169" s="64"/>
      <c r="O169" s="268"/>
      <c r="P169" s="85"/>
      <c r="Q169" s="13" t="s">
        <v>340</v>
      </c>
      <c r="R169" s="31">
        <v>1</v>
      </c>
      <c r="S169" s="29" t="b">
        <v>0</v>
      </c>
      <c r="T169" s="60"/>
      <c r="U169" s="60"/>
      <c r="V169" s="220"/>
      <c r="W169" s="284"/>
    </row>
    <row r="170" spans="2:23" ht="21" x14ac:dyDescent="0.4">
      <c r="B170" s="272"/>
      <c r="C170" s="51"/>
      <c r="D170" s="51"/>
      <c r="E170" s="242"/>
      <c r="F170" s="41"/>
      <c r="G170" s="275"/>
      <c r="H170" s="103"/>
      <c r="I170" s="124"/>
      <c r="J170" s="244"/>
      <c r="K170" s="47"/>
      <c r="L170" s="47"/>
      <c r="M170" s="47"/>
      <c r="N170" s="64"/>
      <c r="O170" s="269"/>
      <c r="P170" s="85"/>
      <c r="Q170" s="13" t="s">
        <v>341</v>
      </c>
      <c r="R170" s="31">
        <v>1</v>
      </c>
      <c r="S170" s="29" t="b">
        <v>0</v>
      </c>
      <c r="T170" s="60"/>
      <c r="U170" s="60"/>
      <c r="V170" s="220"/>
      <c r="W170" s="284"/>
    </row>
    <row r="171" spans="2:23" ht="21" x14ac:dyDescent="0.4">
      <c r="B171" s="272"/>
      <c r="C171" s="51"/>
      <c r="D171" s="51"/>
      <c r="E171" s="242"/>
      <c r="F171" s="41"/>
      <c r="G171" s="275"/>
      <c r="H171" s="103"/>
      <c r="I171" s="124"/>
      <c r="J171" s="244"/>
      <c r="K171" s="47"/>
      <c r="L171" s="47"/>
      <c r="M171" s="47"/>
      <c r="N171" s="64"/>
      <c r="O171" s="267" t="s">
        <v>271</v>
      </c>
      <c r="P171" s="227">
        <f>K162*0.4375</f>
        <v>1.21877882215712E-2</v>
      </c>
      <c r="Q171" s="13" t="s">
        <v>342</v>
      </c>
      <c r="R171" s="31">
        <v>1</v>
      </c>
      <c r="S171" s="29" t="b">
        <v>0</v>
      </c>
      <c r="T171" s="55" cm="1">
        <f t="array" ref="T171">SUMPRODUCT(R171:R177,--S171:S177)</f>
        <v>0</v>
      </c>
      <c r="U171" s="56" cm="1">
        <f t="array" ref="U171">IF(
 7=0,
  "",
  _xlfn.IFS(
    T171/7&gt;=0.8, 5,
    T171/7&gt;=0.6, 4,
    T171/7&gt;=0.4, 3,
    T171/7&gt;=0.2, 2,
    T171/7&gt;=0.1, 1,
    TRUE, 0
  )
)</f>
        <v>0</v>
      </c>
      <c r="V171" s="212">
        <f>U171/5*P171*100</f>
        <v>0</v>
      </c>
      <c r="W171" s="284"/>
    </row>
    <row r="172" spans="2:23" ht="21" x14ac:dyDescent="0.4">
      <c r="B172" s="272"/>
      <c r="C172" s="51"/>
      <c r="D172" s="51"/>
      <c r="E172" s="242"/>
      <c r="F172" s="41"/>
      <c r="G172" s="275"/>
      <c r="H172" s="103"/>
      <c r="I172" s="124"/>
      <c r="J172" s="244"/>
      <c r="K172" s="47"/>
      <c r="L172" s="47"/>
      <c r="M172" s="47"/>
      <c r="N172" s="64"/>
      <c r="O172" s="268"/>
      <c r="P172" s="85"/>
      <c r="Q172" s="13" t="s">
        <v>343</v>
      </c>
      <c r="R172" s="31">
        <v>1</v>
      </c>
      <c r="S172" s="29" t="b">
        <v>0</v>
      </c>
      <c r="T172" s="60"/>
      <c r="U172" s="60"/>
      <c r="V172" s="220"/>
      <c r="W172" s="284"/>
    </row>
    <row r="173" spans="2:23" ht="21" x14ac:dyDescent="0.4">
      <c r="B173" s="272"/>
      <c r="C173" s="51"/>
      <c r="D173" s="51"/>
      <c r="E173" s="242"/>
      <c r="F173" s="41"/>
      <c r="G173" s="275"/>
      <c r="H173" s="103"/>
      <c r="I173" s="124"/>
      <c r="J173" s="244"/>
      <c r="K173" s="47"/>
      <c r="L173" s="47"/>
      <c r="M173" s="47"/>
      <c r="N173" s="64"/>
      <c r="O173" s="268"/>
      <c r="P173" s="85"/>
      <c r="Q173" s="13" t="s">
        <v>344</v>
      </c>
      <c r="R173" s="31">
        <v>1</v>
      </c>
      <c r="S173" s="29" t="b">
        <v>0</v>
      </c>
      <c r="T173" s="60"/>
      <c r="U173" s="60"/>
      <c r="V173" s="220"/>
      <c r="W173" s="284"/>
    </row>
    <row r="174" spans="2:23" ht="21" x14ac:dyDescent="0.4">
      <c r="B174" s="272"/>
      <c r="C174" s="51"/>
      <c r="D174" s="51"/>
      <c r="E174" s="242"/>
      <c r="F174" s="41"/>
      <c r="G174" s="275"/>
      <c r="H174" s="103"/>
      <c r="I174" s="124"/>
      <c r="J174" s="244"/>
      <c r="K174" s="47"/>
      <c r="L174" s="47"/>
      <c r="M174" s="47"/>
      <c r="N174" s="64"/>
      <c r="O174" s="268"/>
      <c r="P174" s="85"/>
      <c r="Q174" s="13" t="s">
        <v>345</v>
      </c>
      <c r="R174" s="31">
        <v>1</v>
      </c>
      <c r="S174" s="29" t="b">
        <v>0</v>
      </c>
      <c r="T174" s="60"/>
      <c r="U174" s="60"/>
      <c r="V174" s="220"/>
      <c r="W174" s="284"/>
    </row>
    <row r="175" spans="2:23" ht="21" x14ac:dyDescent="0.4">
      <c r="B175" s="272"/>
      <c r="C175" s="51"/>
      <c r="D175" s="51"/>
      <c r="E175" s="242"/>
      <c r="F175" s="41"/>
      <c r="G175" s="275"/>
      <c r="H175" s="103"/>
      <c r="I175" s="124"/>
      <c r="J175" s="244"/>
      <c r="K175" s="47"/>
      <c r="L175" s="47"/>
      <c r="M175" s="47"/>
      <c r="N175" s="64"/>
      <c r="O175" s="268"/>
      <c r="P175" s="85"/>
      <c r="Q175" s="13" t="s">
        <v>346</v>
      </c>
      <c r="R175" s="31">
        <v>1</v>
      </c>
      <c r="S175" s="29" t="b">
        <v>0</v>
      </c>
      <c r="T175" s="60"/>
      <c r="U175" s="60"/>
      <c r="V175" s="220"/>
      <c r="W175" s="284"/>
    </row>
    <row r="176" spans="2:23" ht="21" x14ac:dyDescent="0.4">
      <c r="B176" s="272"/>
      <c r="C176" s="51"/>
      <c r="D176" s="51"/>
      <c r="E176" s="242"/>
      <c r="F176" s="41"/>
      <c r="G176" s="275"/>
      <c r="H176" s="103"/>
      <c r="I176" s="124"/>
      <c r="J176" s="244"/>
      <c r="K176" s="47"/>
      <c r="L176" s="47"/>
      <c r="M176" s="47"/>
      <c r="N176" s="64"/>
      <c r="O176" s="268"/>
      <c r="P176" s="85"/>
      <c r="Q176" s="13" t="s">
        <v>347</v>
      </c>
      <c r="R176" s="31">
        <v>1</v>
      </c>
      <c r="S176" s="29" t="b">
        <v>0</v>
      </c>
      <c r="T176" s="60"/>
      <c r="U176" s="60"/>
      <c r="V176" s="220"/>
      <c r="W176" s="284"/>
    </row>
    <row r="177" spans="2:23" ht="21" x14ac:dyDescent="0.4">
      <c r="B177" s="272"/>
      <c r="C177" s="51"/>
      <c r="D177" s="51"/>
      <c r="E177" s="242"/>
      <c r="F177" s="41"/>
      <c r="G177" s="275"/>
      <c r="H177" s="103"/>
      <c r="I177" s="124"/>
      <c r="J177" s="245"/>
      <c r="K177" s="46"/>
      <c r="L177" s="46"/>
      <c r="M177" s="46"/>
      <c r="N177" s="65"/>
      <c r="O177" s="269"/>
      <c r="P177" s="85"/>
      <c r="Q177" s="13" t="s">
        <v>348</v>
      </c>
      <c r="R177" s="31">
        <v>1</v>
      </c>
      <c r="S177" s="29" t="b">
        <v>0</v>
      </c>
      <c r="T177" s="61"/>
      <c r="U177" s="61"/>
      <c r="V177" s="220"/>
      <c r="W177" s="285"/>
    </row>
    <row r="178" spans="2:23" ht="21" x14ac:dyDescent="0.4">
      <c r="B178" s="272"/>
      <c r="C178" s="51"/>
      <c r="D178" s="51"/>
      <c r="E178" s="242"/>
      <c r="F178" s="41"/>
      <c r="G178" s="275"/>
      <c r="H178" s="103"/>
      <c r="I178" s="124"/>
      <c r="J178" s="248" t="s">
        <v>28</v>
      </c>
      <c r="K178" s="41">
        <f>H162*0.520833333333333</f>
        <v>3.028021918402779E-2</v>
      </c>
      <c r="L178" s="41"/>
      <c r="M178" s="41"/>
      <c r="N178" s="63"/>
      <c r="O178" s="267" t="s">
        <v>186</v>
      </c>
      <c r="P178" s="81">
        <f>K178*0.5</f>
        <v>1.5140109592013895E-2</v>
      </c>
      <c r="Q178" s="13" t="s">
        <v>187</v>
      </c>
      <c r="R178" s="31">
        <v>3</v>
      </c>
      <c r="S178" s="29" t="b">
        <v>0</v>
      </c>
      <c r="T178" s="55" cm="1">
        <f t="array" ref="T178">SUMPRODUCT(R178:R181,--S178:S181)</f>
        <v>0</v>
      </c>
      <c r="U178" s="56"/>
      <c r="V178" s="212">
        <f>T178/R178*P178*100</f>
        <v>0</v>
      </c>
      <c r="W178" s="5"/>
    </row>
    <row r="179" spans="2:23" ht="21" x14ac:dyDescent="0.4">
      <c r="B179" s="272"/>
      <c r="C179" s="51"/>
      <c r="D179" s="51"/>
      <c r="E179" s="242"/>
      <c r="F179" s="41"/>
      <c r="G179" s="275"/>
      <c r="H179" s="103"/>
      <c r="I179" s="124"/>
      <c r="J179" s="244"/>
      <c r="K179" s="47"/>
      <c r="L179" s="47"/>
      <c r="M179" s="47"/>
      <c r="N179" s="64"/>
      <c r="O179" s="268"/>
      <c r="P179" s="82"/>
      <c r="Q179" s="13" t="s">
        <v>402</v>
      </c>
      <c r="R179" s="31">
        <v>2</v>
      </c>
      <c r="S179" s="29" t="b">
        <v>0</v>
      </c>
      <c r="T179" s="60"/>
      <c r="U179" s="60"/>
      <c r="V179" s="216"/>
      <c r="W179" s="5"/>
    </row>
    <row r="180" spans="2:23" ht="21" x14ac:dyDescent="0.4">
      <c r="B180" s="272"/>
      <c r="C180" s="51"/>
      <c r="D180" s="51"/>
      <c r="E180" s="242"/>
      <c r="F180" s="41"/>
      <c r="G180" s="275"/>
      <c r="H180" s="103"/>
      <c r="I180" s="124"/>
      <c r="J180" s="244"/>
      <c r="K180" s="47"/>
      <c r="L180" s="47"/>
      <c r="M180" s="47"/>
      <c r="N180" s="64"/>
      <c r="O180" s="268"/>
      <c r="P180" s="82"/>
      <c r="Q180" s="13" t="s">
        <v>403</v>
      </c>
      <c r="R180" s="31">
        <v>1</v>
      </c>
      <c r="S180" s="29" t="b">
        <v>0</v>
      </c>
      <c r="T180" s="60"/>
      <c r="U180" s="60"/>
      <c r="V180" s="216"/>
      <c r="W180" s="5"/>
    </row>
    <row r="181" spans="2:23" ht="21" x14ac:dyDescent="0.4">
      <c r="B181" s="272"/>
      <c r="C181" s="51"/>
      <c r="D181" s="51"/>
      <c r="E181" s="242"/>
      <c r="F181" s="41"/>
      <c r="G181" s="275"/>
      <c r="H181" s="103"/>
      <c r="I181" s="124"/>
      <c r="J181" s="244"/>
      <c r="K181" s="47"/>
      <c r="L181" s="47"/>
      <c r="M181" s="47"/>
      <c r="N181" s="64"/>
      <c r="O181" s="269"/>
      <c r="P181" s="83"/>
      <c r="Q181" s="13" t="s">
        <v>404</v>
      </c>
      <c r="R181" s="31">
        <v>0</v>
      </c>
      <c r="S181" s="29" t="b">
        <v>0</v>
      </c>
      <c r="T181" s="61"/>
      <c r="U181" s="61"/>
      <c r="V181" s="216"/>
      <c r="W181" s="5"/>
    </row>
    <row r="182" spans="2:23" ht="21" x14ac:dyDescent="0.4">
      <c r="B182" s="272"/>
      <c r="C182" s="51"/>
      <c r="D182" s="51"/>
      <c r="E182" s="242"/>
      <c r="F182" s="41"/>
      <c r="G182" s="275"/>
      <c r="H182" s="103"/>
      <c r="I182" s="124"/>
      <c r="J182" s="244"/>
      <c r="K182" s="47"/>
      <c r="L182" s="47"/>
      <c r="M182" s="47"/>
      <c r="N182" s="64"/>
      <c r="O182" s="267" t="s">
        <v>182</v>
      </c>
      <c r="P182" s="81">
        <f>K178*0.5</f>
        <v>1.5140109592013895E-2</v>
      </c>
      <c r="Q182" s="13" t="s">
        <v>185</v>
      </c>
      <c r="R182" s="31">
        <v>2</v>
      </c>
      <c r="S182" s="29" t="b">
        <v>0</v>
      </c>
      <c r="T182" s="55" cm="1">
        <f t="array" ref="T182">SUMPRODUCT(R182:R184,--S182:S184)</f>
        <v>0</v>
      </c>
      <c r="U182" s="56"/>
      <c r="V182" s="212">
        <f>T182/R182*P182*100</f>
        <v>0</v>
      </c>
      <c r="W182" s="5"/>
    </row>
    <row r="183" spans="2:23" ht="21" x14ac:dyDescent="0.4">
      <c r="B183" s="272"/>
      <c r="C183" s="51"/>
      <c r="D183" s="51"/>
      <c r="E183" s="242"/>
      <c r="F183" s="41"/>
      <c r="G183" s="275"/>
      <c r="H183" s="103"/>
      <c r="I183" s="124"/>
      <c r="J183" s="244"/>
      <c r="K183" s="47"/>
      <c r="L183" s="47"/>
      <c r="M183" s="47"/>
      <c r="N183" s="64"/>
      <c r="O183" s="268"/>
      <c r="P183" s="77"/>
      <c r="Q183" s="13" t="s">
        <v>183</v>
      </c>
      <c r="R183" s="31">
        <v>1</v>
      </c>
      <c r="S183" s="29" t="b">
        <v>0</v>
      </c>
      <c r="T183" s="60"/>
      <c r="U183" s="60"/>
      <c r="V183" s="216"/>
      <c r="W183" s="5"/>
    </row>
    <row r="184" spans="2:23" ht="21" x14ac:dyDescent="0.4">
      <c r="B184" s="272"/>
      <c r="C184" s="51"/>
      <c r="D184" s="51"/>
      <c r="E184" s="243"/>
      <c r="F184" s="42"/>
      <c r="G184" s="276"/>
      <c r="H184" s="104"/>
      <c r="I184" s="125"/>
      <c r="J184" s="245"/>
      <c r="K184" s="46"/>
      <c r="L184" s="46"/>
      <c r="M184" s="46"/>
      <c r="N184" s="65"/>
      <c r="O184" s="269"/>
      <c r="P184" s="78"/>
      <c r="Q184" s="13" t="s">
        <v>184</v>
      </c>
      <c r="R184" s="31">
        <v>0</v>
      </c>
      <c r="S184" s="29" t="b">
        <v>0</v>
      </c>
      <c r="T184" s="61"/>
      <c r="U184" s="61"/>
      <c r="V184" s="216"/>
      <c r="W184" s="5"/>
    </row>
    <row r="185" spans="2:23" ht="21" x14ac:dyDescent="0.4">
      <c r="B185" s="272"/>
      <c r="C185" s="51"/>
      <c r="D185" s="51"/>
      <c r="E185" s="249" t="s">
        <v>204</v>
      </c>
      <c r="F185" s="149">
        <f>D92*0.25</f>
        <v>0.15</v>
      </c>
      <c r="G185" s="282" t="s">
        <v>205</v>
      </c>
      <c r="H185" s="93">
        <f>F185*0.604166666666667</f>
        <v>9.0625000000000039E-2</v>
      </c>
      <c r="I185" s="123"/>
      <c r="J185" s="248" t="s">
        <v>29</v>
      </c>
      <c r="K185" s="41">
        <f>H185*0.147492625368732</f>
        <v>1.3366519174041344E-2</v>
      </c>
      <c r="L185" s="41"/>
      <c r="M185" s="41"/>
      <c r="N185" s="63"/>
      <c r="O185" s="7"/>
      <c r="P185" s="85"/>
      <c r="Q185" s="13" t="s">
        <v>188</v>
      </c>
      <c r="R185" s="186">
        <v>4</v>
      </c>
      <c r="S185" s="29" t="b">
        <v>0</v>
      </c>
      <c r="T185" s="55" cm="1">
        <f t="array" ref="T185">SUMPRODUCT(R185:R189,--S185:S189)</f>
        <v>0</v>
      </c>
      <c r="U185" s="56"/>
      <c r="V185" s="212">
        <f>T185/R185*K185*100</f>
        <v>0</v>
      </c>
      <c r="W185" s="5"/>
    </row>
    <row r="186" spans="2:23" ht="21" x14ac:dyDescent="0.45">
      <c r="B186" s="272"/>
      <c r="C186" s="51"/>
      <c r="D186" s="51"/>
      <c r="E186" s="242"/>
      <c r="F186" s="41"/>
      <c r="G186" s="275"/>
      <c r="H186" s="105"/>
      <c r="I186" s="126"/>
      <c r="J186" s="244"/>
      <c r="K186" s="47"/>
      <c r="L186" s="47"/>
      <c r="M186" s="47"/>
      <c r="N186" s="64"/>
      <c r="O186" s="7"/>
      <c r="P186" s="85"/>
      <c r="Q186" s="13" t="s">
        <v>189</v>
      </c>
      <c r="R186" s="31">
        <v>3</v>
      </c>
      <c r="S186" s="29" t="b">
        <v>0</v>
      </c>
      <c r="T186" s="60"/>
      <c r="U186" s="60"/>
      <c r="V186" s="216"/>
      <c r="W186" s="5"/>
    </row>
    <row r="187" spans="2:23" ht="21" x14ac:dyDescent="0.45">
      <c r="B187" s="272"/>
      <c r="C187" s="51"/>
      <c r="D187" s="51"/>
      <c r="E187" s="242"/>
      <c r="F187" s="41"/>
      <c r="G187" s="275"/>
      <c r="H187" s="105"/>
      <c r="I187" s="126"/>
      <c r="J187" s="244"/>
      <c r="K187" s="47"/>
      <c r="L187" s="47"/>
      <c r="M187" s="47"/>
      <c r="N187" s="64"/>
      <c r="O187" s="7"/>
      <c r="P187" s="85"/>
      <c r="Q187" s="13" t="s">
        <v>190</v>
      </c>
      <c r="R187" s="31">
        <v>2</v>
      </c>
      <c r="S187" s="29" t="b">
        <v>0</v>
      </c>
      <c r="T187" s="60"/>
      <c r="U187" s="60"/>
      <c r="V187" s="216"/>
      <c r="W187" s="5"/>
    </row>
    <row r="188" spans="2:23" ht="21" x14ac:dyDescent="0.45">
      <c r="B188" s="272"/>
      <c r="C188" s="51"/>
      <c r="D188" s="51"/>
      <c r="E188" s="242"/>
      <c r="F188" s="41"/>
      <c r="G188" s="275"/>
      <c r="H188" s="105"/>
      <c r="I188" s="126"/>
      <c r="J188" s="244"/>
      <c r="K188" s="47"/>
      <c r="L188" s="47"/>
      <c r="M188" s="47"/>
      <c r="N188" s="64"/>
      <c r="O188" s="7"/>
      <c r="P188" s="85"/>
      <c r="Q188" s="13" t="s">
        <v>191</v>
      </c>
      <c r="R188" s="31">
        <v>1</v>
      </c>
      <c r="S188" s="29" t="b">
        <v>0</v>
      </c>
      <c r="T188" s="60"/>
      <c r="U188" s="60"/>
      <c r="V188" s="216"/>
      <c r="W188" s="5"/>
    </row>
    <row r="189" spans="2:23" ht="21" x14ac:dyDescent="0.45">
      <c r="B189" s="272"/>
      <c r="C189" s="51"/>
      <c r="D189" s="51"/>
      <c r="E189" s="242"/>
      <c r="F189" s="41"/>
      <c r="G189" s="275"/>
      <c r="H189" s="105"/>
      <c r="I189" s="126"/>
      <c r="J189" s="245"/>
      <c r="K189" s="46"/>
      <c r="L189" s="46"/>
      <c r="M189" s="46"/>
      <c r="N189" s="65"/>
      <c r="O189" s="7"/>
      <c r="P189" s="85"/>
      <c r="Q189" s="13" t="s">
        <v>192</v>
      </c>
      <c r="R189" s="31">
        <v>0</v>
      </c>
      <c r="S189" s="29" t="b">
        <v>0</v>
      </c>
      <c r="T189" s="61"/>
      <c r="U189" s="61"/>
      <c r="V189" s="216"/>
      <c r="W189" s="5"/>
    </row>
    <row r="190" spans="2:23" ht="21" x14ac:dyDescent="0.45">
      <c r="B190" s="272"/>
      <c r="C190" s="51"/>
      <c r="D190" s="51"/>
      <c r="E190" s="242"/>
      <c r="F190" s="41"/>
      <c r="G190" s="275"/>
      <c r="H190" s="105"/>
      <c r="I190" s="126"/>
      <c r="J190" s="248" t="s">
        <v>30</v>
      </c>
      <c r="K190" s="41">
        <f>H185*0.171091445427729</f>
        <v>1.5505162241887947E-2</v>
      </c>
      <c r="L190" s="41"/>
      <c r="M190" s="41"/>
      <c r="N190" s="63"/>
      <c r="O190" s="7"/>
      <c r="P190" s="85"/>
      <c r="Q190" s="13" t="s">
        <v>487</v>
      </c>
      <c r="R190" s="31">
        <v>3</v>
      </c>
      <c r="S190" s="29" t="b">
        <v>0</v>
      </c>
      <c r="T190" s="55" cm="1">
        <f t="array" ref="T190">SUMPRODUCT(R190:R193,--S190:S193)</f>
        <v>0</v>
      </c>
      <c r="U190" s="56"/>
      <c r="V190" s="212">
        <f>T190/R190*K190*100</f>
        <v>0</v>
      </c>
      <c r="W190" s="5"/>
    </row>
    <row r="191" spans="2:23" ht="21" x14ac:dyDescent="0.45">
      <c r="B191" s="272"/>
      <c r="C191" s="51"/>
      <c r="D191" s="51"/>
      <c r="E191" s="242"/>
      <c r="F191" s="41"/>
      <c r="G191" s="275"/>
      <c r="H191" s="105"/>
      <c r="I191" s="126"/>
      <c r="J191" s="244"/>
      <c r="K191" s="47"/>
      <c r="L191" s="47"/>
      <c r="M191" s="47"/>
      <c r="N191" s="64"/>
      <c r="O191" s="7"/>
      <c r="P191" s="85"/>
      <c r="Q191" s="13" t="s">
        <v>488</v>
      </c>
      <c r="R191" s="31">
        <v>2</v>
      </c>
      <c r="S191" s="29" t="b">
        <v>0</v>
      </c>
      <c r="T191" s="60"/>
      <c r="U191" s="60"/>
      <c r="V191" s="216"/>
      <c r="W191" s="5"/>
    </row>
    <row r="192" spans="2:23" ht="21" x14ac:dyDescent="0.45">
      <c r="B192" s="272"/>
      <c r="C192" s="51"/>
      <c r="D192" s="51"/>
      <c r="E192" s="242"/>
      <c r="F192" s="41"/>
      <c r="G192" s="275"/>
      <c r="H192" s="105"/>
      <c r="I192" s="126"/>
      <c r="J192" s="244"/>
      <c r="K192" s="47"/>
      <c r="L192" s="47"/>
      <c r="M192" s="47"/>
      <c r="N192" s="64"/>
      <c r="O192" s="7"/>
      <c r="P192" s="85"/>
      <c r="Q192" s="13" t="s">
        <v>195</v>
      </c>
      <c r="R192" s="31">
        <v>1</v>
      </c>
      <c r="S192" s="29" t="b">
        <v>0</v>
      </c>
      <c r="T192" s="60"/>
      <c r="U192" s="60"/>
      <c r="V192" s="216"/>
      <c r="W192" s="5"/>
    </row>
    <row r="193" spans="2:27" ht="21.6" thickBot="1" x14ac:dyDescent="0.5">
      <c r="B193" s="272"/>
      <c r="C193" s="51"/>
      <c r="D193" s="51"/>
      <c r="E193" s="242"/>
      <c r="F193" s="41"/>
      <c r="G193" s="275"/>
      <c r="H193" s="105"/>
      <c r="I193" s="126"/>
      <c r="J193" s="245"/>
      <c r="K193" s="46"/>
      <c r="L193" s="46"/>
      <c r="M193" s="46"/>
      <c r="N193" s="65"/>
      <c r="O193" s="7"/>
      <c r="P193" s="85"/>
      <c r="Q193" s="13" t="s">
        <v>194</v>
      </c>
      <c r="R193" s="31">
        <v>0</v>
      </c>
      <c r="S193" s="29" t="b">
        <v>0</v>
      </c>
      <c r="T193" s="61"/>
      <c r="U193" s="61"/>
      <c r="V193" s="216"/>
      <c r="W193" s="5"/>
    </row>
    <row r="194" spans="2:27" ht="21.6" thickBot="1" x14ac:dyDescent="0.5">
      <c r="B194" s="272"/>
      <c r="C194" s="51"/>
      <c r="D194" s="51"/>
      <c r="E194" s="242"/>
      <c r="F194" s="41"/>
      <c r="G194" s="275"/>
      <c r="H194" s="105"/>
      <c r="I194" s="126"/>
      <c r="J194" s="248" t="s">
        <v>31</v>
      </c>
      <c r="K194" s="41">
        <f>H185*0.238938053097345</f>
        <v>2.16537610619469E-2</v>
      </c>
      <c r="L194" s="41"/>
      <c r="M194" s="41"/>
      <c r="N194" s="288" t="s">
        <v>495</v>
      </c>
      <c r="O194" s="7"/>
      <c r="P194" s="299" t="s">
        <v>257</v>
      </c>
      <c r="Q194" s="13" t="s">
        <v>196</v>
      </c>
      <c r="R194" s="31">
        <v>1</v>
      </c>
      <c r="S194" s="29" t="b">
        <v>0</v>
      </c>
      <c r="T194" s="55" cm="1">
        <f t="array" ref="T194">SUMPRODUCT(R194:R198,--S194:S198)</f>
        <v>0</v>
      </c>
      <c r="U194" s="56" cm="1">
        <f t="array" ref="U194">IF(
 5=0,
  "",
  _xlfn.IFS(
    T194/5&gt;=0.8, 5,
    T194/5&gt;=0.6, 4,
    T194/5&gt;=0.4, 3,
    T194/5&gt;=0.2, 2,
    T194/5&gt;=0.1, 1,
    TRUE, 0
  )
)</f>
        <v>0</v>
      </c>
      <c r="V194" s="212">
        <f>U194/5*K194*100</f>
        <v>0</v>
      </c>
      <c r="W194" s="289" t="s">
        <v>150</v>
      </c>
      <c r="X194" s="141" t="s">
        <v>288</v>
      </c>
      <c r="Y194" s="137" t="s">
        <v>286</v>
      </c>
      <c r="Z194" s="135" t="s">
        <v>283</v>
      </c>
      <c r="AA194" s="136" t="s">
        <v>284</v>
      </c>
    </row>
    <row r="195" spans="2:27" ht="21" customHeight="1" x14ac:dyDescent="0.45">
      <c r="B195" s="272"/>
      <c r="C195" s="51"/>
      <c r="D195" s="51"/>
      <c r="E195" s="242"/>
      <c r="F195" s="41"/>
      <c r="G195" s="275"/>
      <c r="H195" s="105"/>
      <c r="I195" s="126"/>
      <c r="J195" s="244"/>
      <c r="K195" s="290"/>
      <c r="L195" s="238"/>
      <c r="M195" s="238"/>
      <c r="N195" s="288"/>
      <c r="O195" s="7"/>
      <c r="P195" s="294"/>
      <c r="Q195" s="13" t="s">
        <v>406</v>
      </c>
      <c r="R195" s="31">
        <v>1</v>
      </c>
      <c r="S195" s="29" t="b">
        <v>0</v>
      </c>
      <c r="T195" s="60"/>
      <c r="U195" s="60"/>
      <c r="V195" s="220"/>
      <c r="W195" s="284"/>
      <c r="Y195" s="140" t="s">
        <v>278</v>
      </c>
      <c r="Z195" s="139"/>
      <c r="AA195" s="132">
        <f>SUMPRODUCT(V194*(Z195/100))</f>
        <v>0</v>
      </c>
    </row>
    <row r="196" spans="2:27" ht="21" x14ac:dyDescent="0.45">
      <c r="B196" s="272"/>
      <c r="C196" s="51"/>
      <c r="D196" s="51"/>
      <c r="E196" s="242"/>
      <c r="F196" s="41"/>
      <c r="G196" s="275"/>
      <c r="H196" s="105"/>
      <c r="I196" s="126"/>
      <c r="J196" s="244"/>
      <c r="K196" s="290"/>
      <c r="L196" s="238"/>
      <c r="M196" s="238"/>
      <c r="N196" s="288"/>
      <c r="O196" s="7"/>
      <c r="P196" s="294"/>
      <c r="Q196" s="13" t="s">
        <v>405</v>
      </c>
      <c r="R196" s="31">
        <v>1</v>
      </c>
      <c r="S196" s="29" t="b">
        <v>0</v>
      </c>
      <c r="T196" s="60"/>
      <c r="U196" s="60"/>
      <c r="V196" s="220"/>
      <c r="W196" s="284"/>
      <c r="Y196" s="140" t="s">
        <v>279</v>
      </c>
      <c r="Z196" s="139"/>
      <c r="AA196" s="132">
        <f>SUMPRODUCT(V199*(Z196/100))</f>
        <v>0</v>
      </c>
    </row>
    <row r="197" spans="2:27" ht="21" x14ac:dyDescent="0.45">
      <c r="B197" s="272"/>
      <c r="C197" s="51"/>
      <c r="D197" s="51"/>
      <c r="E197" s="242"/>
      <c r="F197" s="41"/>
      <c r="G197" s="275"/>
      <c r="H197" s="105"/>
      <c r="I197" s="126"/>
      <c r="J197" s="244"/>
      <c r="K197" s="290"/>
      <c r="L197" s="238"/>
      <c r="M197" s="238"/>
      <c r="N197" s="288"/>
      <c r="O197" s="7"/>
      <c r="P197" s="294"/>
      <c r="Q197" s="13" t="s">
        <v>197</v>
      </c>
      <c r="R197" s="31">
        <v>1</v>
      </c>
      <c r="S197" s="29" t="b">
        <v>0</v>
      </c>
      <c r="T197" s="60"/>
      <c r="U197" s="60"/>
      <c r="V197" s="220"/>
      <c r="W197" s="284"/>
      <c r="Y197" s="140" t="s">
        <v>280</v>
      </c>
      <c r="Z197" s="139"/>
      <c r="AA197" s="132">
        <f>SUMPRODUCT(V204*(Z197/100))</f>
        <v>0</v>
      </c>
    </row>
    <row r="198" spans="2:27" ht="21" x14ac:dyDescent="0.45">
      <c r="B198" s="272"/>
      <c r="C198" s="51"/>
      <c r="D198" s="51"/>
      <c r="E198" s="242"/>
      <c r="F198" s="41"/>
      <c r="G198" s="275"/>
      <c r="H198" s="105"/>
      <c r="I198" s="126"/>
      <c r="J198" s="244"/>
      <c r="K198" s="290"/>
      <c r="L198" s="238"/>
      <c r="M198" s="238"/>
      <c r="N198" s="288"/>
      <c r="O198" s="7"/>
      <c r="P198" s="294"/>
      <c r="Q198" s="13" t="s">
        <v>198</v>
      </c>
      <c r="R198" s="31">
        <v>1</v>
      </c>
      <c r="S198" s="29" t="b">
        <v>0</v>
      </c>
      <c r="T198" s="61"/>
      <c r="U198" s="61"/>
      <c r="V198" s="220"/>
      <c r="W198" s="285"/>
      <c r="Y198" s="140" t="s">
        <v>281</v>
      </c>
      <c r="Z198" s="139"/>
      <c r="AA198" s="132">
        <f>SUMPRODUCT(V209*(Z198/100))</f>
        <v>0</v>
      </c>
    </row>
    <row r="199" spans="2:27" ht="21" x14ac:dyDescent="0.45">
      <c r="B199" s="272"/>
      <c r="C199" s="51"/>
      <c r="D199" s="51"/>
      <c r="E199" s="242"/>
      <c r="F199" s="41"/>
      <c r="G199" s="275"/>
      <c r="H199" s="105"/>
      <c r="I199" s="126"/>
      <c r="J199" s="244"/>
      <c r="K199" s="290"/>
      <c r="L199" s="238"/>
      <c r="M199" s="238"/>
      <c r="N199" s="288" t="s">
        <v>496</v>
      </c>
      <c r="O199" s="7"/>
      <c r="P199" s="294"/>
      <c r="Q199" s="13" t="s">
        <v>407</v>
      </c>
      <c r="R199" s="31">
        <v>1</v>
      </c>
      <c r="S199" s="29" t="b">
        <v>0</v>
      </c>
      <c r="T199" s="55" cm="1">
        <f t="array" ref="T199">SUMPRODUCT(R199:R203,--S199:S203)</f>
        <v>0</v>
      </c>
      <c r="U199" s="56" cm="1">
        <f t="array" ref="U199">IF(
 5=0,
  "",
  _xlfn.IFS(
    T199/5&gt;=0.8, 5,
    T199/5&gt;=0.6, 4,
    T199/5&gt;=0.4, 3,
    T199/5&gt;=0.2, 2,
    T199/5&gt;=0.1, 1,
    TRUE, 0
  )
)</f>
        <v>0</v>
      </c>
      <c r="V199" s="212">
        <f>U199/5*K194*100</f>
        <v>0</v>
      </c>
      <c r="W199" s="283" t="s">
        <v>150</v>
      </c>
      <c r="Y199" s="140" t="s">
        <v>282</v>
      </c>
      <c r="Z199" s="139"/>
      <c r="AA199" s="132">
        <f>SUMPRODUCT(V214*(Z199/100))</f>
        <v>0</v>
      </c>
    </row>
    <row r="200" spans="2:27" ht="21.6" thickBot="1" x14ac:dyDescent="0.5">
      <c r="B200" s="272"/>
      <c r="C200" s="51"/>
      <c r="D200" s="51"/>
      <c r="E200" s="242"/>
      <c r="F200" s="41"/>
      <c r="G200" s="275"/>
      <c r="H200" s="105"/>
      <c r="I200" s="126"/>
      <c r="J200" s="244"/>
      <c r="K200" s="290"/>
      <c r="L200" s="238"/>
      <c r="M200" s="238"/>
      <c r="N200" s="288"/>
      <c r="O200" s="7"/>
      <c r="P200" s="294"/>
      <c r="Q200" s="13" t="s">
        <v>408</v>
      </c>
      <c r="R200" s="31">
        <v>1</v>
      </c>
      <c r="S200" s="29" t="b">
        <v>0</v>
      </c>
      <c r="T200" s="60"/>
      <c r="U200" s="60"/>
      <c r="V200" s="220"/>
      <c r="W200" s="284"/>
      <c r="Y200" s="138" t="s">
        <v>285</v>
      </c>
      <c r="Z200" s="133">
        <v>100</v>
      </c>
      <c r="AA200" s="134">
        <f>SUM(AA195:AA199)</f>
        <v>0</v>
      </c>
    </row>
    <row r="201" spans="2:27" ht="21" x14ac:dyDescent="0.45">
      <c r="B201" s="272"/>
      <c r="C201" s="51"/>
      <c r="D201" s="51"/>
      <c r="E201" s="242"/>
      <c r="F201" s="41"/>
      <c r="G201" s="275"/>
      <c r="H201" s="105"/>
      <c r="I201" s="126"/>
      <c r="J201" s="244"/>
      <c r="K201" s="290"/>
      <c r="L201" s="238"/>
      <c r="M201" s="238"/>
      <c r="N201" s="288"/>
      <c r="O201" s="7"/>
      <c r="P201" s="294"/>
      <c r="Q201" s="13" t="s">
        <v>349</v>
      </c>
      <c r="R201" s="31">
        <v>1</v>
      </c>
      <c r="S201" s="29" t="b">
        <v>0</v>
      </c>
      <c r="T201" s="60"/>
      <c r="U201" s="60"/>
      <c r="V201" s="220"/>
      <c r="W201" s="284"/>
    </row>
    <row r="202" spans="2:27" ht="21" x14ac:dyDescent="0.45">
      <c r="B202" s="272"/>
      <c r="C202" s="51"/>
      <c r="D202" s="51"/>
      <c r="E202" s="242"/>
      <c r="F202" s="41"/>
      <c r="G202" s="275"/>
      <c r="H202" s="105"/>
      <c r="I202" s="126"/>
      <c r="J202" s="244"/>
      <c r="K202" s="290"/>
      <c r="L202" s="238"/>
      <c r="M202" s="238"/>
      <c r="N202" s="288"/>
      <c r="O202" s="7"/>
      <c r="P202" s="294"/>
      <c r="Q202" s="13" t="s">
        <v>350</v>
      </c>
      <c r="R202" s="31">
        <v>1</v>
      </c>
      <c r="S202" s="29" t="b">
        <v>0</v>
      </c>
      <c r="T202" s="60"/>
      <c r="U202" s="60"/>
      <c r="V202" s="220"/>
      <c r="W202" s="284"/>
    </row>
    <row r="203" spans="2:27" ht="21" x14ac:dyDescent="0.45">
      <c r="B203" s="272"/>
      <c r="C203" s="51"/>
      <c r="D203" s="51"/>
      <c r="E203" s="242"/>
      <c r="F203" s="41"/>
      <c r="G203" s="275"/>
      <c r="H203" s="105"/>
      <c r="I203" s="126"/>
      <c r="J203" s="244"/>
      <c r="K203" s="290"/>
      <c r="L203" s="238"/>
      <c r="M203" s="238"/>
      <c r="N203" s="288"/>
      <c r="O203" s="7"/>
      <c r="P203" s="294"/>
      <c r="Q203" s="13" t="s">
        <v>201</v>
      </c>
      <c r="R203" s="31">
        <v>1</v>
      </c>
      <c r="S203" s="29" t="b">
        <v>0</v>
      </c>
      <c r="T203" s="61"/>
      <c r="U203" s="61"/>
      <c r="V203" s="220"/>
      <c r="W203" s="285"/>
    </row>
    <row r="204" spans="2:27" ht="21" x14ac:dyDescent="0.45">
      <c r="B204" s="272"/>
      <c r="C204" s="51"/>
      <c r="D204" s="51"/>
      <c r="E204" s="242"/>
      <c r="F204" s="41"/>
      <c r="G204" s="275"/>
      <c r="H204" s="105"/>
      <c r="I204" s="126"/>
      <c r="J204" s="244"/>
      <c r="K204" s="290"/>
      <c r="L204" s="238"/>
      <c r="M204" s="238"/>
      <c r="N204" s="288" t="s">
        <v>497</v>
      </c>
      <c r="O204" s="7"/>
      <c r="P204" s="294"/>
      <c r="Q204" s="13" t="s">
        <v>409</v>
      </c>
      <c r="R204" s="31">
        <v>1</v>
      </c>
      <c r="S204" s="29" t="b">
        <v>0</v>
      </c>
      <c r="T204" s="55" cm="1">
        <f t="array" ref="T204">SUMPRODUCT(R204:R208,--S204:S208)</f>
        <v>0</v>
      </c>
      <c r="U204" s="56" cm="1">
        <f t="array" ref="U204">IF(
 5=0,
  "",
  _xlfn.IFS(
    T204/5&gt;=0.8, 5,
    T204/5&gt;=0.6, 4,
    T204/5&gt;=0.4, 3,
    T204/5&gt;=0.2, 2,
    T204/5&gt;=0.1, 1,
    TRUE, 0
  )
)</f>
        <v>0</v>
      </c>
      <c r="V204" s="212">
        <f>U204/5*K194*100</f>
        <v>0</v>
      </c>
      <c r="W204" s="283" t="s">
        <v>150</v>
      </c>
    </row>
    <row r="205" spans="2:27" ht="21" x14ac:dyDescent="0.45">
      <c r="B205" s="272"/>
      <c r="C205" s="51"/>
      <c r="D205" s="51"/>
      <c r="E205" s="242"/>
      <c r="F205" s="41"/>
      <c r="G205" s="275"/>
      <c r="H205" s="105"/>
      <c r="I205" s="126"/>
      <c r="J205" s="244"/>
      <c r="K205" s="290"/>
      <c r="L205" s="238"/>
      <c r="M205" s="238"/>
      <c r="N205" s="288"/>
      <c r="O205" s="7"/>
      <c r="P205" s="294"/>
      <c r="Q205" s="13" t="s">
        <v>410</v>
      </c>
      <c r="R205" s="31">
        <v>1</v>
      </c>
      <c r="S205" s="29" t="b">
        <v>0</v>
      </c>
      <c r="T205" s="60"/>
      <c r="U205" s="60"/>
      <c r="V205" s="220"/>
      <c r="W205" s="284"/>
    </row>
    <row r="206" spans="2:27" ht="21" x14ac:dyDescent="0.45">
      <c r="B206" s="272"/>
      <c r="C206" s="51"/>
      <c r="D206" s="51"/>
      <c r="E206" s="242"/>
      <c r="F206" s="41"/>
      <c r="G206" s="275"/>
      <c r="H206" s="105"/>
      <c r="I206" s="126"/>
      <c r="J206" s="244"/>
      <c r="K206" s="290"/>
      <c r="L206" s="238"/>
      <c r="M206" s="238"/>
      <c r="N206" s="288"/>
      <c r="O206" s="7"/>
      <c r="P206" s="294"/>
      <c r="Q206" s="13" t="s">
        <v>199</v>
      </c>
      <c r="R206" s="31">
        <v>1</v>
      </c>
      <c r="S206" s="29" t="b">
        <v>0</v>
      </c>
      <c r="T206" s="60"/>
      <c r="U206" s="60"/>
      <c r="V206" s="220"/>
      <c r="W206" s="284"/>
    </row>
    <row r="207" spans="2:27" ht="21" x14ac:dyDescent="0.45">
      <c r="B207" s="272"/>
      <c r="C207" s="51"/>
      <c r="D207" s="51"/>
      <c r="E207" s="242"/>
      <c r="F207" s="41"/>
      <c r="G207" s="275"/>
      <c r="H207" s="105"/>
      <c r="I207" s="126"/>
      <c r="J207" s="244"/>
      <c r="K207" s="290"/>
      <c r="L207" s="238"/>
      <c r="M207" s="238"/>
      <c r="N207" s="288"/>
      <c r="O207" s="7"/>
      <c r="P207" s="294"/>
      <c r="Q207" s="13" t="s">
        <v>200</v>
      </c>
      <c r="R207" s="31">
        <v>1</v>
      </c>
      <c r="S207" s="29" t="b">
        <v>0</v>
      </c>
      <c r="T207" s="60"/>
      <c r="U207" s="60"/>
      <c r="V207" s="220"/>
      <c r="W207" s="284"/>
    </row>
    <row r="208" spans="2:27" ht="21" x14ac:dyDescent="0.45">
      <c r="B208" s="272"/>
      <c r="C208" s="51"/>
      <c r="D208" s="51"/>
      <c r="E208" s="242"/>
      <c r="F208" s="41"/>
      <c r="G208" s="275"/>
      <c r="H208" s="105"/>
      <c r="I208" s="126"/>
      <c r="J208" s="244"/>
      <c r="K208" s="290"/>
      <c r="L208" s="238"/>
      <c r="M208" s="238"/>
      <c r="N208" s="288"/>
      <c r="O208" s="7"/>
      <c r="P208" s="294"/>
      <c r="Q208" s="13" t="s">
        <v>201</v>
      </c>
      <c r="R208" s="31">
        <v>1</v>
      </c>
      <c r="S208" s="29" t="b">
        <v>0</v>
      </c>
      <c r="T208" s="61"/>
      <c r="U208" s="61"/>
      <c r="V208" s="220"/>
      <c r="W208" s="285"/>
    </row>
    <row r="209" spans="2:23" ht="21" x14ac:dyDescent="0.45">
      <c r="B209" s="272"/>
      <c r="C209" s="51"/>
      <c r="D209" s="51"/>
      <c r="E209" s="242"/>
      <c r="F209" s="41"/>
      <c r="G209" s="275"/>
      <c r="H209" s="105"/>
      <c r="I209" s="126"/>
      <c r="J209" s="244"/>
      <c r="K209" s="290"/>
      <c r="L209" s="238"/>
      <c r="M209" s="238"/>
      <c r="N209" s="288" t="s">
        <v>498</v>
      </c>
      <c r="O209" s="7"/>
      <c r="P209" s="294"/>
      <c r="Q209" s="13" t="s">
        <v>411</v>
      </c>
      <c r="R209" s="31">
        <v>1</v>
      </c>
      <c r="S209" s="29" t="b">
        <v>0</v>
      </c>
      <c r="T209" s="55" cm="1">
        <f t="array" ref="T209">SUMPRODUCT(R209:R213,--S209:S213)</f>
        <v>0</v>
      </c>
      <c r="U209" s="56" cm="1">
        <f t="array" ref="U209">IF(
 5=0,
  "",
  _xlfn.IFS(
    T209/5&gt;=0.8, 5,
    T209/5&gt;=0.6, 4,
    T209/5&gt;=0.4, 3,
    T209/5&gt;=0.2, 2,
    T209/5&gt;=0.1, 1,
    TRUE, 0
  )
)</f>
        <v>0</v>
      </c>
      <c r="V209" s="212">
        <f>U209/5*K194*100</f>
        <v>0</v>
      </c>
      <c r="W209" s="283" t="s">
        <v>150</v>
      </c>
    </row>
    <row r="210" spans="2:23" ht="21" x14ac:dyDescent="0.45">
      <c r="B210" s="272"/>
      <c r="C210" s="51"/>
      <c r="D210" s="51"/>
      <c r="E210" s="242"/>
      <c r="F210" s="41"/>
      <c r="G210" s="275"/>
      <c r="H210" s="105"/>
      <c r="I210" s="126"/>
      <c r="J210" s="244"/>
      <c r="K210" s="290"/>
      <c r="L210" s="238"/>
      <c r="M210" s="238"/>
      <c r="N210" s="288"/>
      <c r="O210" s="7"/>
      <c r="P210" s="294"/>
      <c r="Q210" s="13" t="s">
        <v>412</v>
      </c>
      <c r="R210" s="31">
        <v>1</v>
      </c>
      <c r="S210" s="29" t="b">
        <v>0</v>
      </c>
      <c r="T210" s="60"/>
      <c r="U210" s="60"/>
      <c r="V210" s="220"/>
      <c r="W210" s="284"/>
    </row>
    <row r="211" spans="2:23" ht="21" x14ac:dyDescent="0.45">
      <c r="B211" s="272"/>
      <c r="C211" s="51"/>
      <c r="D211" s="51"/>
      <c r="E211" s="242"/>
      <c r="F211" s="41"/>
      <c r="G211" s="275"/>
      <c r="H211" s="105"/>
      <c r="I211" s="126"/>
      <c r="J211" s="244"/>
      <c r="K211" s="290"/>
      <c r="L211" s="238"/>
      <c r="M211" s="238"/>
      <c r="N211" s="288"/>
      <c r="O211" s="7"/>
      <c r="P211" s="294"/>
      <c r="Q211" s="13" t="s">
        <v>413</v>
      </c>
      <c r="R211" s="31">
        <v>1</v>
      </c>
      <c r="S211" s="29" t="b">
        <v>0</v>
      </c>
      <c r="T211" s="60"/>
      <c r="U211" s="60"/>
      <c r="V211" s="220"/>
      <c r="W211" s="284"/>
    </row>
    <row r="212" spans="2:23" ht="21" x14ac:dyDescent="0.45">
      <c r="B212" s="272"/>
      <c r="C212" s="51"/>
      <c r="D212" s="51"/>
      <c r="E212" s="242"/>
      <c r="F212" s="41"/>
      <c r="G212" s="275"/>
      <c r="H212" s="105"/>
      <c r="I212" s="126"/>
      <c r="J212" s="244"/>
      <c r="K212" s="290"/>
      <c r="L212" s="238"/>
      <c r="M212" s="238"/>
      <c r="N212" s="288"/>
      <c r="O212" s="7"/>
      <c r="P212" s="294"/>
      <c r="Q212" s="13" t="s">
        <v>414</v>
      </c>
      <c r="R212" s="31">
        <v>1</v>
      </c>
      <c r="S212" s="29" t="b">
        <v>0</v>
      </c>
      <c r="T212" s="60"/>
      <c r="U212" s="60"/>
      <c r="V212" s="220"/>
      <c r="W212" s="284"/>
    </row>
    <row r="213" spans="2:23" ht="21" x14ac:dyDescent="0.45">
      <c r="B213" s="272"/>
      <c r="C213" s="51"/>
      <c r="D213" s="51"/>
      <c r="E213" s="242"/>
      <c r="F213" s="41"/>
      <c r="G213" s="275"/>
      <c r="H213" s="105"/>
      <c r="I213" s="126"/>
      <c r="J213" s="244"/>
      <c r="K213" s="290"/>
      <c r="L213" s="238"/>
      <c r="M213" s="238"/>
      <c r="N213" s="288"/>
      <c r="O213" s="7"/>
      <c r="P213" s="294"/>
      <c r="Q213" s="13" t="s">
        <v>201</v>
      </c>
      <c r="R213" s="31">
        <v>1</v>
      </c>
      <c r="S213" s="29" t="b">
        <v>0</v>
      </c>
      <c r="T213" s="61"/>
      <c r="U213" s="61"/>
      <c r="V213" s="220"/>
      <c r="W213" s="285"/>
    </row>
    <row r="214" spans="2:23" ht="21" x14ac:dyDescent="0.45">
      <c r="B214" s="272"/>
      <c r="C214" s="51"/>
      <c r="D214" s="51"/>
      <c r="E214" s="242"/>
      <c r="F214" s="41"/>
      <c r="G214" s="275"/>
      <c r="H214" s="105"/>
      <c r="I214" s="126"/>
      <c r="J214" s="244"/>
      <c r="K214" s="290"/>
      <c r="L214" s="238"/>
      <c r="M214" s="238"/>
      <c r="N214" s="288" t="s">
        <v>499</v>
      </c>
      <c r="O214" s="7"/>
      <c r="P214" s="294"/>
      <c r="Q214" s="13" t="s">
        <v>202</v>
      </c>
      <c r="R214" s="31">
        <v>1</v>
      </c>
      <c r="S214" s="29" t="b">
        <v>0</v>
      </c>
      <c r="T214" s="55" cm="1">
        <f t="array" ref="T214">SUMPRODUCT(R214:R218,--S214:S218)</f>
        <v>0</v>
      </c>
      <c r="U214" s="56" cm="1">
        <f t="array" ref="U214">IF(
 5=0,
  "",
  _xlfn.IFS(
    T214/5&gt;=0.8, 5,
    T214/5&gt;=0.6, 4,
    T214/5&gt;=0.4, 3,
    T214/5&gt;=0.2, 2,
    T214/5&gt;=0.1, 1,
    TRUE, 0
  )
)</f>
        <v>0</v>
      </c>
      <c r="V214" s="212">
        <f>U214/5*K194*100</f>
        <v>0</v>
      </c>
      <c r="W214" s="283" t="s">
        <v>150</v>
      </c>
    </row>
    <row r="215" spans="2:23" ht="21" x14ac:dyDescent="0.45">
      <c r="B215" s="272"/>
      <c r="C215" s="51"/>
      <c r="D215" s="51"/>
      <c r="E215" s="242"/>
      <c r="F215" s="41"/>
      <c r="G215" s="275"/>
      <c r="H215" s="105"/>
      <c r="I215" s="126"/>
      <c r="J215" s="244"/>
      <c r="K215" s="290"/>
      <c r="L215" s="238"/>
      <c r="M215" s="238"/>
      <c r="N215" s="288"/>
      <c r="O215" s="7"/>
      <c r="P215" s="294"/>
      <c r="Q215" s="13" t="s">
        <v>415</v>
      </c>
      <c r="R215" s="31">
        <v>1</v>
      </c>
      <c r="S215" s="29" t="b">
        <v>0</v>
      </c>
      <c r="T215" s="60"/>
      <c r="U215" s="60"/>
      <c r="V215" s="220"/>
      <c r="W215" s="284"/>
    </row>
    <row r="216" spans="2:23" ht="21" x14ac:dyDescent="0.45">
      <c r="B216" s="272"/>
      <c r="C216" s="51"/>
      <c r="D216" s="51"/>
      <c r="E216" s="242"/>
      <c r="F216" s="41"/>
      <c r="G216" s="275"/>
      <c r="H216" s="105"/>
      <c r="I216" s="126"/>
      <c r="J216" s="244"/>
      <c r="K216" s="290"/>
      <c r="L216" s="238"/>
      <c r="M216" s="238"/>
      <c r="N216" s="288"/>
      <c r="O216" s="7"/>
      <c r="P216" s="294"/>
      <c r="Q216" s="13" t="s">
        <v>416</v>
      </c>
      <c r="R216" s="31">
        <v>1</v>
      </c>
      <c r="S216" s="29" t="b">
        <v>0</v>
      </c>
      <c r="T216" s="60"/>
      <c r="U216" s="60"/>
      <c r="V216" s="220"/>
      <c r="W216" s="284"/>
    </row>
    <row r="217" spans="2:23" ht="21" x14ac:dyDescent="0.45">
      <c r="B217" s="272"/>
      <c r="C217" s="51"/>
      <c r="D217" s="51"/>
      <c r="E217" s="242"/>
      <c r="F217" s="41"/>
      <c r="G217" s="275"/>
      <c r="H217" s="105"/>
      <c r="I217" s="126"/>
      <c r="J217" s="244"/>
      <c r="K217" s="290"/>
      <c r="L217" s="238"/>
      <c r="M217" s="238"/>
      <c r="N217" s="288"/>
      <c r="O217" s="7"/>
      <c r="P217" s="294"/>
      <c r="Q217" s="13" t="s">
        <v>417</v>
      </c>
      <c r="R217" s="31">
        <v>1</v>
      </c>
      <c r="S217" s="29" t="b">
        <v>0</v>
      </c>
      <c r="T217" s="60"/>
      <c r="U217" s="60"/>
      <c r="V217" s="220"/>
      <c r="W217" s="284"/>
    </row>
    <row r="218" spans="2:23" ht="21" x14ac:dyDescent="0.45">
      <c r="B218" s="272"/>
      <c r="C218" s="51"/>
      <c r="D218" s="51"/>
      <c r="E218" s="242"/>
      <c r="F218" s="41"/>
      <c r="G218" s="275"/>
      <c r="H218" s="105"/>
      <c r="I218" s="126"/>
      <c r="J218" s="245"/>
      <c r="K218" s="291"/>
      <c r="L218" s="239"/>
      <c r="M218" s="239"/>
      <c r="N218" s="288"/>
      <c r="O218" s="7"/>
      <c r="P218" s="295"/>
      <c r="Q218" s="13" t="s">
        <v>203</v>
      </c>
      <c r="R218" s="31">
        <v>1</v>
      </c>
      <c r="S218" s="29" t="b">
        <v>0</v>
      </c>
      <c r="T218" s="61"/>
      <c r="U218" s="61"/>
      <c r="V218" s="220"/>
      <c r="W218" s="285"/>
    </row>
    <row r="219" spans="2:23" ht="34.799999999999997" x14ac:dyDescent="0.45">
      <c r="B219" s="272"/>
      <c r="C219" s="51"/>
      <c r="D219" s="51"/>
      <c r="E219" s="242"/>
      <c r="F219" s="41"/>
      <c r="G219" s="275"/>
      <c r="H219" s="105"/>
      <c r="I219" s="126"/>
      <c r="J219" s="248" t="s">
        <v>32</v>
      </c>
      <c r="K219" s="41">
        <f>H185*0.224188790560472</f>
        <v>2.0317109144542784E-2</v>
      </c>
      <c r="L219" s="41"/>
      <c r="M219" s="41"/>
      <c r="N219" s="63"/>
      <c r="O219" s="267" t="s">
        <v>209</v>
      </c>
      <c r="P219" s="81">
        <f>K219*0.5</f>
        <v>1.0158554572271392E-2</v>
      </c>
      <c r="Q219" s="237" t="s">
        <v>351</v>
      </c>
      <c r="R219" s="31">
        <v>1</v>
      </c>
      <c r="S219" s="29" t="b">
        <v>0</v>
      </c>
      <c r="T219" s="55" cm="1">
        <f t="array" ref="T219">SUMPRODUCT(R219:R224,--S219:S224)</f>
        <v>0</v>
      </c>
      <c r="U219" s="56" cm="1">
        <f t="array" ref="U219">IF(
6=0,
  "",
  _xlfn.IFS(
    T219/6&gt;=0.8, 5,
    T219/6&gt;=0.6, 4,
    T219/6&gt;=0.4, 3,
    T219/6&gt;=0.2, 2,
    T219/6&gt;=0.1, 1,
    TRUE, 0
  )
)</f>
        <v>0</v>
      </c>
      <c r="V219" s="212">
        <f>U219/5*P219*100</f>
        <v>0</v>
      </c>
      <c r="W219" s="283" t="s">
        <v>245</v>
      </c>
    </row>
    <row r="220" spans="2:23" ht="21" x14ac:dyDescent="0.45">
      <c r="B220" s="272"/>
      <c r="C220" s="51"/>
      <c r="D220" s="51"/>
      <c r="E220" s="242"/>
      <c r="F220" s="41"/>
      <c r="G220" s="275"/>
      <c r="H220" s="105"/>
      <c r="I220" s="126"/>
      <c r="J220" s="244"/>
      <c r="K220" s="47"/>
      <c r="L220" s="47"/>
      <c r="M220" s="47"/>
      <c r="N220" s="64"/>
      <c r="O220" s="268"/>
      <c r="P220" s="82"/>
      <c r="Q220" s="13" t="s">
        <v>352</v>
      </c>
      <c r="R220" s="31">
        <v>1</v>
      </c>
      <c r="S220" s="29" t="b">
        <v>0</v>
      </c>
      <c r="T220" s="60"/>
      <c r="U220" s="60"/>
      <c r="V220" s="216"/>
      <c r="W220" s="284"/>
    </row>
    <row r="221" spans="2:23" ht="21" x14ac:dyDescent="0.45">
      <c r="B221" s="272"/>
      <c r="C221" s="51"/>
      <c r="D221" s="51"/>
      <c r="E221" s="242"/>
      <c r="F221" s="41"/>
      <c r="G221" s="275"/>
      <c r="H221" s="105"/>
      <c r="I221" s="126"/>
      <c r="J221" s="244"/>
      <c r="K221" s="47"/>
      <c r="L221" s="47"/>
      <c r="M221" s="47"/>
      <c r="N221" s="64"/>
      <c r="O221" s="268"/>
      <c r="P221" s="82"/>
      <c r="Q221" s="13" t="s">
        <v>353</v>
      </c>
      <c r="R221" s="31">
        <v>1</v>
      </c>
      <c r="S221" s="29" t="b">
        <v>0</v>
      </c>
      <c r="T221" s="60"/>
      <c r="U221" s="60"/>
      <c r="V221" s="216"/>
      <c r="W221" s="284"/>
    </row>
    <row r="222" spans="2:23" ht="21" x14ac:dyDescent="0.45">
      <c r="B222" s="272"/>
      <c r="C222" s="51"/>
      <c r="D222" s="51"/>
      <c r="E222" s="242"/>
      <c r="F222" s="41"/>
      <c r="G222" s="275"/>
      <c r="H222" s="105"/>
      <c r="I222" s="126"/>
      <c r="J222" s="244"/>
      <c r="K222" s="47"/>
      <c r="L222" s="47"/>
      <c r="M222" s="47"/>
      <c r="N222" s="64"/>
      <c r="O222" s="268"/>
      <c r="P222" s="82"/>
      <c r="Q222" s="13" t="s">
        <v>354</v>
      </c>
      <c r="R222" s="31">
        <v>1</v>
      </c>
      <c r="S222" s="29" t="b">
        <v>0</v>
      </c>
      <c r="T222" s="60"/>
      <c r="U222" s="60"/>
      <c r="V222" s="216"/>
      <c r="W222" s="284"/>
    </row>
    <row r="223" spans="2:23" ht="21" x14ac:dyDescent="0.45">
      <c r="B223" s="272"/>
      <c r="C223" s="51"/>
      <c r="D223" s="51"/>
      <c r="E223" s="242"/>
      <c r="F223" s="41"/>
      <c r="G223" s="275"/>
      <c r="H223" s="105"/>
      <c r="I223" s="126"/>
      <c r="J223" s="244"/>
      <c r="K223" s="47"/>
      <c r="L223" s="47"/>
      <c r="M223" s="47"/>
      <c r="N223" s="64"/>
      <c r="O223" s="268"/>
      <c r="P223" s="82"/>
      <c r="Q223" s="13" t="s">
        <v>355</v>
      </c>
      <c r="R223" s="31">
        <v>1</v>
      </c>
      <c r="S223" s="29" t="b">
        <v>0</v>
      </c>
      <c r="T223" s="60"/>
      <c r="U223" s="60"/>
      <c r="V223" s="216"/>
      <c r="W223" s="284"/>
    </row>
    <row r="224" spans="2:23" ht="21" x14ac:dyDescent="0.45">
      <c r="B224" s="272"/>
      <c r="C224" s="51"/>
      <c r="D224" s="51"/>
      <c r="E224" s="242"/>
      <c r="F224" s="41"/>
      <c r="G224" s="275"/>
      <c r="H224" s="105"/>
      <c r="I224" s="126"/>
      <c r="J224" s="244"/>
      <c r="K224" s="47"/>
      <c r="L224" s="47"/>
      <c r="M224" s="47"/>
      <c r="N224" s="64"/>
      <c r="O224" s="269"/>
      <c r="P224" s="83"/>
      <c r="Q224" s="13" t="s">
        <v>356</v>
      </c>
      <c r="R224" s="31">
        <v>1</v>
      </c>
      <c r="S224" s="29" t="b">
        <v>0</v>
      </c>
      <c r="T224" s="61"/>
      <c r="U224" s="61"/>
      <c r="V224" s="216"/>
      <c r="W224" s="285"/>
    </row>
    <row r="225" spans="2:23" ht="21" x14ac:dyDescent="0.45">
      <c r="B225" s="272"/>
      <c r="C225" s="51"/>
      <c r="D225" s="51"/>
      <c r="E225" s="242"/>
      <c r="F225" s="41"/>
      <c r="G225" s="275"/>
      <c r="H225" s="105"/>
      <c r="I225" s="126"/>
      <c r="J225" s="244"/>
      <c r="K225" s="47"/>
      <c r="L225" s="47"/>
      <c r="M225" s="47"/>
      <c r="N225" s="64"/>
      <c r="O225" s="267" t="s">
        <v>210</v>
      </c>
      <c r="P225" s="81">
        <f>K219*0.25</f>
        <v>5.079277286135696E-3</v>
      </c>
      <c r="Q225" s="13" t="s">
        <v>357</v>
      </c>
      <c r="R225" s="31">
        <v>1</v>
      </c>
      <c r="S225" s="29" t="b">
        <v>0</v>
      </c>
      <c r="T225" s="55" cm="1">
        <f t="array" ref="T225">SUMPRODUCT(R225:R230,--S225:S230)</f>
        <v>0</v>
      </c>
      <c r="U225" s="56" cm="1">
        <f t="array" ref="U225">IF(
6=0,
  "",
  _xlfn.IFS(
    T225/6&gt;=0.8, 5,
    T225/6&gt;=0.6, 4,
    T225/6&gt;=0.4, 3,
    T225/6&gt;=0.2, 2,
    T225/6&gt;=0.1, 1,
    TRUE, 0
  )
)</f>
        <v>0</v>
      </c>
      <c r="V225" s="212">
        <f>U225/5*P225*100</f>
        <v>0</v>
      </c>
      <c r="W225" s="283" t="s">
        <v>245</v>
      </c>
    </row>
    <row r="226" spans="2:23" ht="21" x14ac:dyDescent="0.45">
      <c r="B226" s="272"/>
      <c r="C226" s="51"/>
      <c r="D226" s="51"/>
      <c r="E226" s="242"/>
      <c r="F226" s="41"/>
      <c r="G226" s="275"/>
      <c r="H226" s="105"/>
      <c r="I226" s="126"/>
      <c r="J226" s="244"/>
      <c r="K226" s="47"/>
      <c r="L226" s="47"/>
      <c r="M226" s="47"/>
      <c r="N226" s="64"/>
      <c r="O226" s="268"/>
      <c r="P226" s="82"/>
      <c r="Q226" s="13" t="s">
        <v>358</v>
      </c>
      <c r="R226" s="31">
        <v>1</v>
      </c>
      <c r="S226" s="29" t="b">
        <v>0</v>
      </c>
      <c r="T226" s="60"/>
      <c r="U226" s="60"/>
      <c r="V226" s="216"/>
      <c r="W226" s="284"/>
    </row>
    <row r="227" spans="2:23" ht="21" x14ac:dyDescent="0.45">
      <c r="B227" s="272"/>
      <c r="C227" s="51"/>
      <c r="D227" s="51"/>
      <c r="E227" s="242"/>
      <c r="F227" s="41"/>
      <c r="G227" s="275"/>
      <c r="H227" s="105"/>
      <c r="I227" s="126"/>
      <c r="J227" s="244"/>
      <c r="K227" s="47"/>
      <c r="L227" s="47"/>
      <c r="M227" s="47"/>
      <c r="N227" s="64"/>
      <c r="O227" s="268"/>
      <c r="P227" s="82"/>
      <c r="Q227" s="13" t="s">
        <v>359</v>
      </c>
      <c r="R227" s="31">
        <v>1</v>
      </c>
      <c r="S227" s="29" t="b">
        <v>0</v>
      </c>
      <c r="T227" s="60"/>
      <c r="U227" s="60"/>
      <c r="V227" s="216"/>
      <c r="W227" s="284"/>
    </row>
    <row r="228" spans="2:23" ht="21" x14ac:dyDescent="0.45">
      <c r="B228" s="272"/>
      <c r="C228" s="51"/>
      <c r="D228" s="51"/>
      <c r="E228" s="242"/>
      <c r="F228" s="41"/>
      <c r="G228" s="275"/>
      <c r="H228" s="105"/>
      <c r="I228" s="126"/>
      <c r="J228" s="244"/>
      <c r="K228" s="47"/>
      <c r="L228" s="47"/>
      <c r="M228" s="47"/>
      <c r="N228" s="64"/>
      <c r="O228" s="268"/>
      <c r="P228" s="82"/>
      <c r="Q228" s="13" t="s">
        <v>360</v>
      </c>
      <c r="R228" s="31">
        <v>1</v>
      </c>
      <c r="S228" s="29" t="b">
        <v>0</v>
      </c>
      <c r="T228" s="60"/>
      <c r="U228" s="60"/>
      <c r="V228" s="216"/>
      <c r="W228" s="284"/>
    </row>
    <row r="229" spans="2:23" ht="21" x14ac:dyDescent="0.45">
      <c r="B229" s="272"/>
      <c r="C229" s="51"/>
      <c r="D229" s="51"/>
      <c r="E229" s="242"/>
      <c r="F229" s="41"/>
      <c r="G229" s="275"/>
      <c r="H229" s="105"/>
      <c r="I229" s="126"/>
      <c r="J229" s="244"/>
      <c r="K229" s="47"/>
      <c r="L229" s="47"/>
      <c r="M229" s="47"/>
      <c r="N229" s="64"/>
      <c r="O229" s="268"/>
      <c r="P229" s="82"/>
      <c r="Q229" s="13" t="s">
        <v>361</v>
      </c>
      <c r="R229" s="31">
        <v>1</v>
      </c>
      <c r="S229" s="29" t="b">
        <v>0</v>
      </c>
      <c r="T229" s="60"/>
      <c r="U229" s="60"/>
      <c r="V229" s="216"/>
      <c r="W229" s="284"/>
    </row>
    <row r="230" spans="2:23" ht="21" x14ac:dyDescent="0.45">
      <c r="B230" s="272"/>
      <c r="C230" s="51"/>
      <c r="D230" s="51"/>
      <c r="E230" s="242"/>
      <c r="F230" s="41"/>
      <c r="G230" s="275"/>
      <c r="H230" s="105"/>
      <c r="I230" s="126"/>
      <c r="J230" s="244"/>
      <c r="K230" s="47"/>
      <c r="L230" s="47"/>
      <c r="M230" s="47"/>
      <c r="N230" s="64"/>
      <c r="O230" s="269"/>
      <c r="P230" s="83"/>
      <c r="Q230" s="13" t="s">
        <v>362</v>
      </c>
      <c r="R230" s="31">
        <v>1</v>
      </c>
      <c r="S230" s="29" t="b">
        <v>0</v>
      </c>
      <c r="T230" s="61"/>
      <c r="U230" s="61"/>
      <c r="V230" s="216"/>
      <c r="W230" s="285"/>
    </row>
    <row r="231" spans="2:23" ht="21" x14ac:dyDescent="0.45">
      <c r="B231" s="272"/>
      <c r="C231" s="51"/>
      <c r="D231" s="51"/>
      <c r="E231" s="242"/>
      <c r="F231" s="41"/>
      <c r="G231" s="275"/>
      <c r="H231" s="105"/>
      <c r="I231" s="126"/>
      <c r="J231" s="244"/>
      <c r="K231" s="47"/>
      <c r="L231" s="47"/>
      <c r="M231" s="47"/>
      <c r="N231" s="64"/>
      <c r="O231" s="267" t="s">
        <v>211</v>
      </c>
      <c r="P231" s="86">
        <f>K219*0.25</f>
        <v>5.079277286135696E-3</v>
      </c>
      <c r="Q231" s="13" t="s">
        <v>363</v>
      </c>
      <c r="R231" s="31">
        <v>1</v>
      </c>
      <c r="S231" s="29" t="b">
        <v>0</v>
      </c>
      <c r="T231" s="55" cm="1">
        <f t="array" ref="T231">SUMPRODUCT(R231:R236,--S231:S236)</f>
        <v>0</v>
      </c>
      <c r="U231" s="56" cm="1">
        <f t="array" ref="U231">IF(
6=0,
  "",
  _xlfn.IFS(
    T231/6&gt;=0.8, 5,
    T231/6&gt;=0.6, 4,
    T231/6&gt;=0.4, 3,
    T231/6&gt;=0.2, 2,
    T231/6&gt;=0.1, 1,
    TRUE, 0
  )
)</f>
        <v>0</v>
      </c>
      <c r="V231" s="212">
        <f>U231/5*P231*100</f>
        <v>0</v>
      </c>
      <c r="W231" s="283" t="s">
        <v>245</v>
      </c>
    </row>
    <row r="232" spans="2:23" ht="21" x14ac:dyDescent="0.45">
      <c r="B232" s="272"/>
      <c r="C232" s="51"/>
      <c r="D232" s="51"/>
      <c r="E232" s="242"/>
      <c r="F232" s="41"/>
      <c r="G232" s="275"/>
      <c r="H232" s="105"/>
      <c r="I232" s="126"/>
      <c r="J232" s="244"/>
      <c r="K232" s="47"/>
      <c r="L232" s="47"/>
      <c r="M232" s="47"/>
      <c r="N232" s="64"/>
      <c r="O232" s="268"/>
      <c r="P232" s="87"/>
      <c r="Q232" s="13" t="s">
        <v>364</v>
      </c>
      <c r="R232" s="31">
        <v>1</v>
      </c>
      <c r="S232" s="29" t="b">
        <v>0</v>
      </c>
      <c r="T232" s="60"/>
      <c r="U232" s="60"/>
      <c r="V232" s="216"/>
      <c r="W232" s="284"/>
    </row>
    <row r="233" spans="2:23" ht="21" x14ac:dyDescent="0.45">
      <c r="B233" s="272"/>
      <c r="C233" s="51"/>
      <c r="D233" s="51"/>
      <c r="E233" s="242"/>
      <c r="F233" s="41"/>
      <c r="G233" s="275"/>
      <c r="H233" s="105"/>
      <c r="I233" s="126"/>
      <c r="J233" s="244"/>
      <c r="K233" s="47"/>
      <c r="L233" s="47"/>
      <c r="M233" s="47"/>
      <c r="N233" s="64"/>
      <c r="O233" s="268"/>
      <c r="P233" s="11"/>
      <c r="Q233" s="225" t="s">
        <v>365</v>
      </c>
      <c r="R233" s="31">
        <v>1</v>
      </c>
      <c r="S233" s="29" t="b">
        <v>0</v>
      </c>
      <c r="T233" s="60"/>
      <c r="U233" s="60"/>
      <c r="V233" s="216"/>
      <c r="W233" s="284"/>
    </row>
    <row r="234" spans="2:23" ht="21" x14ac:dyDescent="0.45">
      <c r="B234" s="272"/>
      <c r="C234" s="51"/>
      <c r="D234" s="51"/>
      <c r="E234" s="242"/>
      <c r="F234" s="41"/>
      <c r="G234" s="275"/>
      <c r="H234" s="105"/>
      <c r="I234" s="126"/>
      <c r="J234" s="244"/>
      <c r="K234" s="47"/>
      <c r="L234" s="47"/>
      <c r="M234" s="47"/>
      <c r="N234" s="64"/>
      <c r="O234" s="268"/>
      <c r="P234" s="87"/>
      <c r="Q234" s="13" t="s">
        <v>366</v>
      </c>
      <c r="R234" s="31">
        <v>1</v>
      </c>
      <c r="S234" s="29" t="b">
        <v>0</v>
      </c>
      <c r="T234" s="60"/>
      <c r="U234" s="60"/>
      <c r="V234" s="216"/>
      <c r="W234" s="284"/>
    </row>
    <row r="235" spans="2:23" ht="21" x14ac:dyDescent="0.45">
      <c r="B235" s="272"/>
      <c r="C235" s="51"/>
      <c r="D235" s="51"/>
      <c r="E235" s="242"/>
      <c r="F235" s="41"/>
      <c r="G235" s="275"/>
      <c r="H235" s="105"/>
      <c r="I235" s="126"/>
      <c r="J235" s="244"/>
      <c r="K235" s="47"/>
      <c r="L235" s="47"/>
      <c r="M235" s="47"/>
      <c r="N235" s="64"/>
      <c r="O235" s="268"/>
      <c r="P235" s="11"/>
      <c r="Q235" s="225" t="s">
        <v>367</v>
      </c>
      <c r="R235" s="31">
        <v>1</v>
      </c>
      <c r="S235" s="29" t="b">
        <v>0</v>
      </c>
      <c r="T235" s="60"/>
      <c r="U235" s="60"/>
      <c r="V235" s="216"/>
      <c r="W235" s="284"/>
    </row>
    <row r="236" spans="2:23" ht="21" x14ac:dyDescent="0.45">
      <c r="B236" s="272"/>
      <c r="C236" s="51"/>
      <c r="D236" s="51"/>
      <c r="E236" s="242"/>
      <c r="F236" s="41"/>
      <c r="G236" s="275"/>
      <c r="H236" s="105"/>
      <c r="I236" s="126"/>
      <c r="J236" s="245"/>
      <c r="K236" s="46"/>
      <c r="L236" s="46"/>
      <c r="M236" s="46"/>
      <c r="N236" s="65"/>
      <c r="O236" s="269"/>
      <c r="P236" s="88"/>
      <c r="Q236" s="13" t="s">
        <v>368</v>
      </c>
      <c r="R236" s="31">
        <v>1</v>
      </c>
      <c r="S236" s="29" t="b">
        <v>0</v>
      </c>
      <c r="T236" s="61"/>
      <c r="U236" s="61"/>
      <c r="V236" s="216"/>
      <c r="W236" s="285"/>
    </row>
    <row r="237" spans="2:23" ht="21" x14ac:dyDescent="0.45">
      <c r="B237" s="272"/>
      <c r="C237" s="51"/>
      <c r="D237" s="51"/>
      <c r="E237" s="242"/>
      <c r="F237" s="41"/>
      <c r="G237" s="275"/>
      <c r="H237" s="105"/>
      <c r="I237" s="126"/>
      <c r="J237" s="248" t="s">
        <v>33</v>
      </c>
      <c r="K237" s="41">
        <f>H185*0.153392330383481</f>
        <v>1.3901179941002971E-2</v>
      </c>
      <c r="L237" s="41"/>
      <c r="M237" s="41"/>
      <c r="N237" s="63"/>
      <c r="O237" s="267" t="s">
        <v>212</v>
      </c>
      <c r="P237" s="81">
        <f>K237*0.5</f>
        <v>6.9505899705014857E-3</v>
      </c>
      <c r="Q237" s="13" t="s">
        <v>418</v>
      </c>
      <c r="R237" s="31">
        <v>1</v>
      </c>
      <c r="S237" s="29" t="b">
        <v>0</v>
      </c>
      <c r="T237" s="55" cm="1">
        <f t="array" ref="T237">SUMPRODUCT(R237:R240,--S237:S240)</f>
        <v>0</v>
      </c>
      <c r="U237" s="56" cm="1">
        <f t="array" ref="U237">IF(
4=0,
  "",
  _xlfn.IFS(
    T237/4&gt;=0.8, 5,
    T237/4&gt;=0.6, 4,
    T237/4&gt;=0.4, 3,
    T237/4&gt;=0.2, 2,
    T237/4&gt;=0.1, 1,
    TRUE, 0
  )
)</f>
        <v>0</v>
      </c>
      <c r="V237" s="212">
        <f>U237/5*P237*100</f>
        <v>0</v>
      </c>
      <c r="W237" s="283" t="s">
        <v>245</v>
      </c>
    </row>
    <row r="238" spans="2:23" ht="21" x14ac:dyDescent="0.45">
      <c r="B238" s="272"/>
      <c r="C238" s="51"/>
      <c r="D238" s="51"/>
      <c r="E238" s="242"/>
      <c r="F238" s="41"/>
      <c r="G238" s="275"/>
      <c r="H238" s="105"/>
      <c r="I238" s="126"/>
      <c r="J238" s="244"/>
      <c r="K238" s="47"/>
      <c r="L238" s="47"/>
      <c r="M238" s="47"/>
      <c r="N238" s="64"/>
      <c r="O238" s="268"/>
      <c r="P238" s="82"/>
      <c r="Q238" s="13" t="s">
        <v>419</v>
      </c>
      <c r="R238" s="31">
        <v>1</v>
      </c>
      <c r="S238" s="29" t="b">
        <v>0</v>
      </c>
      <c r="T238" s="60"/>
      <c r="U238" s="60"/>
      <c r="V238" s="216"/>
      <c r="W238" s="284"/>
    </row>
    <row r="239" spans="2:23" ht="21" x14ac:dyDescent="0.45">
      <c r="B239" s="272"/>
      <c r="C239" s="51"/>
      <c r="D239" s="51"/>
      <c r="E239" s="242"/>
      <c r="F239" s="41"/>
      <c r="G239" s="275"/>
      <c r="H239" s="105"/>
      <c r="I239" s="126"/>
      <c r="J239" s="244"/>
      <c r="K239" s="47"/>
      <c r="L239" s="47"/>
      <c r="M239" s="47"/>
      <c r="N239" s="64"/>
      <c r="O239" s="268"/>
      <c r="P239" s="82"/>
      <c r="Q239" s="13" t="s">
        <v>420</v>
      </c>
      <c r="R239" s="31">
        <v>1</v>
      </c>
      <c r="S239" s="29" t="b">
        <v>0</v>
      </c>
      <c r="T239" s="60"/>
      <c r="U239" s="60"/>
      <c r="V239" s="216"/>
      <c r="W239" s="284"/>
    </row>
    <row r="240" spans="2:23" ht="21" x14ac:dyDescent="0.45">
      <c r="B240" s="272"/>
      <c r="C240" s="51"/>
      <c r="D240" s="51"/>
      <c r="E240" s="242"/>
      <c r="F240" s="41"/>
      <c r="G240" s="275"/>
      <c r="H240" s="105"/>
      <c r="I240" s="126"/>
      <c r="J240" s="244"/>
      <c r="K240" s="47"/>
      <c r="L240" s="47"/>
      <c r="M240" s="47"/>
      <c r="N240" s="64"/>
      <c r="O240" s="269"/>
      <c r="P240" s="83"/>
      <c r="Q240" s="13" t="s">
        <v>421</v>
      </c>
      <c r="R240" s="31">
        <v>1</v>
      </c>
      <c r="S240" s="29" t="b">
        <v>0</v>
      </c>
      <c r="T240" s="61"/>
      <c r="U240" s="61"/>
      <c r="V240" s="216"/>
      <c r="W240" s="285"/>
    </row>
    <row r="241" spans="2:27" ht="21" x14ac:dyDescent="0.45">
      <c r="B241" s="272"/>
      <c r="C241" s="51"/>
      <c r="D241" s="51"/>
      <c r="E241" s="242"/>
      <c r="F241" s="41"/>
      <c r="G241" s="275"/>
      <c r="H241" s="105"/>
      <c r="I241" s="126"/>
      <c r="J241" s="244"/>
      <c r="K241" s="47"/>
      <c r="L241" s="47"/>
      <c r="M241" s="47"/>
      <c r="N241" s="64"/>
      <c r="O241" s="267" t="s">
        <v>214</v>
      </c>
      <c r="P241" s="81">
        <f>K237*0.5</f>
        <v>6.9505899705014857E-3</v>
      </c>
      <c r="Q241" s="13" t="s">
        <v>213</v>
      </c>
      <c r="R241" s="31">
        <v>1</v>
      </c>
      <c r="S241" s="29" t="b">
        <v>0</v>
      </c>
      <c r="T241" s="55" cm="1">
        <f t="array" ref="T241">SUMPRODUCT(R241:R244,--S241:S244)</f>
        <v>0</v>
      </c>
      <c r="U241" s="56" cm="1">
        <f t="array" ref="U241">IF(
4=0,
  "",
  _xlfn.IFS(
    T241/4&gt;=0.8, 5,
    T241/4&gt;=0.6, 4,
    T241/4&gt;=0.4, 3,
    T241/4&gt;=0.2, 2,
    T241/4&gt;=0.1, 1,
    TRUE, 0
  )
)</f>
        <v>0</v>
      </c>
      <c r="V241" s="212">
        <f>U241/5*P241*100</f>
        <v>0</v>
      </c>
      <c r="W241" s="283" t="s">
        <v>245</v>
      </c>
    </row>
    <row r="242" spans="2:27" ht="21" x14ac:dyDescent="0.45">
      <c r="B242" s="272"/>
      <c r="C242" s="51"/>
      <c r="D242" s="51"/>
      <c r="E242" s="242"/>
      <c r="F242" s="41"/>
      <c r="G242" s="275"/>
      <c r="H242" s="105"/>
      <c r="I242" s="126"/>
      <c r="J242" s="244"/>
      <c r="K242" s="47"/>
      <c r="L242" s="47"/>
      <c r="M242" s="47"/>
      <c r="N242" s="64"/>
      <c r="O242" s="268"/>
      <c r="P242" s="77"/>
      <c r="Q242" s="13" t="s">
        <v>422</v>
      </c>
      <c r="R242" s="31">
        <v>1</v>
      </c>
      <c r="S242" s="29" t="b">
        <v>0</v>
      </c>
      <c r="T242" s="60"/>
      <c r="U242" s="60"/>
      <c r="V242" s="216"/>
      <c r="W242" s="284"/>
    </row>
    <row r="243" spans="2:27" ht="21" x14ac:dyDescent="0.45">
      <c r="B243" s="272"/>
      <c r="C243" s="51"/>
      <c r="D243" s="51"/>
      <c r="E243" s="242"/>
      <c r="F243" s="41"/>
      <c r="G243" s="275"/>
      <c r="H243" s="105"/>
      <c r="I243" s="126"/>
      <c r="J243" s="244"/>
      <c r="K243" s="47"/>
      <c r="L243" s="47"/>
      <c r="M243" s="47"/>
      <c r="N243" s="64"/>
      <c r="O243" s="268"/>
      <c r="P243" s="77"/>
      <c r="Q243" s="13" t="s">
        <v>423</v>
      </c>
      <c r="R243" s="31">
        <v>1</v>
      </c>
      <c r="S243" s="29" t="b">
        <v>0</v>
      </c>
      <c r="T243" s="60"/>
      <c r="U243" s="60"/>
      <c r="V243" s="216"/>
      <c r="W243" s="284"/>
    </row>
    <row r="244" spans="2:27" ht="21" x14ac:dyDescent="0.45">
      <c r="B244" s="272"/>
      <c r="C244" s="51"/>
      <c r="D244" s="51"/>
      <c r="E244" s="242"/>
      <c r="F244" s="41"/>
      <c r="G244" s="275"/>
      <c r="H244" s="105"/>
      <c r="I244" s="126"/>
      <c r="J244" s="245"/>
      <c r="K244" s="46"/>
      <c r="L244" s="46"/>
      <c r="M244" s="46"/>
      <c r="N244" s="65"/>
      <c r="O244" s="269"/>
      <c r="P244" s="78"/>
      <c r="Q244" s="13" t="s">
        <v>424</v>
      </c>
      <c r="R244" s="31">
        <v>1</v>
      </c>
      <c r="S244" s="29" t="b">
        <v>0</v>
      </c>
      <c r="T244" s="61"/>
      <c r="U244" s="61"/>
      <c r="V244" s="216"/>
      <c r="W244" s="285"/>
    </row>
    <row r="245" spans="2:27" ht="21" x14ac:dyDescent="0.45">
      <c r="B245" s="272"/>
      <c r="C245" s="51"/>
      <c r="D245" s="51"/>
      <c r="E245" s="242"/>
      <c r="F245" s="41"/>
      <c r="G245" s="275"/>
      <c r="H245" s="105"/>
      <c r="I245" s="126"/>
      <c r="J245" s="248" t="s">
        <v>34</v>
      </c>
      <c r="K245" s="107">
        <f>H185*0.0648967551622419</f>
        <v>5.8812684365781749E-3</v>
      </c>
      <c r="L245" s="107"/>
      <c r="M245" s="107"/>
      <c r="N245" s="63"/>
      <c r="O245" s="7"/>
      <c r="P245" s="79"/>
      <c r="Q245" s="13" t="s">
        <v>216</v>
      </c>
      <c r="R245" s="31">
        <v>1</v>
      </c>
      <c r="S245" s="29" t="b">
        <v>0</v>
      </c>
      <c r="T245" s="55" cm="1">
        <f t="array" ref="T245">SUMPRODUCT(R245:R249,--S245:S249)</f>
        <v>0</v>
      </c>
      <c r="U245" s="56" cm="1">
        <f t="array" ref="U245">IF(
 5=0,
  "",
  _xlfn.IFS(
    T245/5&gt;=0.8, 5,
    T245/5&gt;=0.6, 4,
    T245/5&gt;=0.4, 3,
    T245/5&gt;=0.2, 2,
    T245/5&gt;=0.1, 1,
    TRUE, 0
  )
)</f>
        <v>0</v>
      </c>
      <c r="V245" s="212">
        <f>U245/5*K245*100</f>
        <v>0</v>
      </c>
      <c r="W245" s="283" t="s">
        <v>245</v>
      </c>
    </row>
    <row r="246" spans="2:27" ht="21" x14ac:dyDescent="0.45">
      <c r="B246" s="272"/>
      <c r="C246" s="51"/>
      <c r="D246" s="51"/>
      <c r="E246" s="242"/>
      <c r="F246" s="41"/>
      <c r="G246" s="275"/>
      <c r="H246" s="105"/>
      <c r="I246" s="126"/>
      <c r="J246" s="244"/>
      <c r="K246" s="47"/>
      <c r="L246" s="47"/>
      <c r="M246" s="47"/>
      <c r="N246" s="64"/>
      <c r="O246" s="7"/>
      <c r="P246" s="79"/>
      <c r="Q246" s="13" t="s">
        <v>215</v>
      </c>
      <c r="R246" s="31">
        <v>1</v>
      </c>
      <c r="S246" s="29" t="b">
        <v>0</v>
      </c>
      <c r="T246" s="60"/>
      <c r="U246" s="60"/>
      <c r="V246" s="216"/>
      <c r="W246" s="284"/>
    </row>
    <row r="247" spans="2:27" ht="21" x14ac:dyDescent="0.45">
      <c r="B247" s="272"/>
      <c r="C247" s="51"/>
      <c r="D247" s="51"/>
      <c r="E247" s="242"/>
      <c r="F247" s="41"/>
      <c r="G247" s="275"/>
      <c r="H247" s="105"/>
      <c r="I247" s="126"/>
      <c r="J247" s="244"/>
      <c r="K247" s="47"/>
      <c r="L247" s="47"/>
      <c r="M247" s="47"/>
      <c r="N247" s="64"/>
      <c r="O247" s="7"/>
      <c r="P247" s="79"/>
      <c r="Q247" s="13" t="s">
        <v>426</v>
      </c>
      <c r="R247" s="31">
        <v>1</v>
      </c>
      <c r="S247" s="29" t="b">
        <v>0</v>
      </c>
      <c r="T247" s="60"/>
      <c r="U247" s="60"/>
      <c r="V247" s="216"/>
      <c r="W247" s="284"/>
    </row>
    <row r="248" spans="2:27" ht="21" x14ac:dyDescent="0.45">
      <c r="B248" s="272"/>
      <c r="C248" s="51"/>
      <c r="D248" s="51"/>
      <c r="E248" s="242"/>
      <c r="F248" s="41"/>
      <c r="G248" s="275"/>
      <c r="H248" s="105"/>
      <c r="I248" s="126"/>
      <c r="J248" s="244"/>
      <c r="K248" s="47"/>
      <c r="L248" s="47"/>
      <c r="M248" s="47"/>
      <c r="N248" s="64"/>
      <c r="O248" s="7"/>
      <c r="P248" s="79"/>
      <c r="Q248" s="13" t="s">
        <v>425</v>
      </c>
      <c r="R248" s="31">
        <v>1</v>
      </c>
      <c r="S248" s="29" t="b">
        <v>0</v>
      </c>
      <c r="T248" s="60"/>
      <c r="U248" s="60"/>
      <c r="V248" s="216"/>
      <c r="W248" s="284"/>
    </row>
    <row r="249" spans="2:27" ht="21" x14ac:dyDescent="0.45">
      <c r="B249" s="272"/>
      <c r="C249" s="51"/>
      <c r="D249" s="51"/>
      <c r="E249" s="242"/>
      <c r="F249" s="41"/>
      <c r="G249" s="276"/>
      <c r="H249" s="106"/>
      <c r="I249" s="127"/>
      <c r="J249" s="245"/>
      <c r="K249" s="46"/>
      <c r="L249" s="46"/>
      <c r="M249" s="46"/>
      <c r="N249" s="65"/>
      <c r="O249" s="7"/>
      <c r="P249" s="79"/>
      <c r="Q249" s="13" t="s">
        <v>427</v>
      </c>
      <c r="R249" s="31">
        <v>1</v>
      </c>
      <c r="S249" s="29" t="b">
        <v>0</v>
      </c>
      <c r="T249" s="61"/>
      <c r="U249" s="61"/>
      <c r="V249" s="216"/>
      <c r="W249" s="285"/>
    </row>
    <row r="250" spans="2:27" ht="21" x14ac:dyDescent="0.4">
      <c r="B250" s="272"/>
      <c r="C250" s="51"/>
      <c r="D250" s="51"/>
      <c r="E250" s="242"/>
      <c r="F250" s="41"/>
      <c r="G250" s="282" t="s">
        <v>219</v>
      </c>
      <c r="H250" s="93">
        <f>F185*0.395833333333333</f>
        <v>5.9374999999999942E-2</v>
      </c>
      <c r="I250" s="123"/>
      <c r="J250" s="248" t="s">
        <v>35</v>
      </c>
      <c r="K250" s="107">
        <f>H250*0.479166666666667</f>
        <v>2.8450520833333326E-2</v>
      </c>
      <c r="L250" s="107"/>
      <c r="M250" s="107"/>
      <c r="N250" s="63"/>
      <c r="O250" s="267" t="s">
        <v>220</v>
      </c>
      <c r="P250" s="81">
        <f>K250*0.5</f>
        <v>1.4225260416666663E-2</v>
      </c>
      <c r="Q250" s="13" t="s">
        <v>289</v>
      </c>
      <c r="R250" s="31">
        <v>4</v>
      </c>
      <c r="S250" s="29" t="b">
        <v>0</v>
      </c>
      <c r="T250" s="55" cm="1">
        <f t="array" ref="T250">SUMPRODUCT(R250:R254,--S250:S254)</f>
        <v>0</v>
      </c>
      <c r="U250" s="56"/>
      <c r="V250" s="212">
        <f>T250/R250*P250*100</f>
        <v>0</v>
      </c>
      <c r="W250" s="5"/>
    </row>
    <row r="251" spans="2:27" ht="21" x14ac:dyDescent="0.45">
      <c r="B251" s="272"/>
      <c r="C251" s="51"/>
      <c r="D251" s="51"/>
      <c r="E251" s="242"/>
      <c r="F251" s="41"/>
      <c r="G251" s="292"/>
      <c r="H251" s="105"/>
      <c r="I251" s="126"/>
      <c r="J251" s="244"/>
      <c r="K251" s="47"/>
      <c r="L251" s="47"/>
      <c r="M251" s="47"/>
      <c r="N251" s="64"/>
      <c r="O251" s="268"/>
      <c r="P251" s="77"/>
      <c r="Q251" s="13" t="s">
        <v>290</v>
      </c>
      <c r="R251" s="31">
        <v>3</v>
      </c>
      <c r="S251" s="29" t="b">
        <v>0</v>
      </c>
      <c r="T251" s="60"/>
      <c r="U251" s="60"/>
      <c r="V251" s="216"/>
      <c r="W251" s="5"/>
    </row>
    <row r="252" spans="2:27" ht="21" x14ac:dyDescent="0.45">
      <c r="B252" s="272"/>
      <c r="C252" s="51"/>
      <c r="D252" s="51"/>
      <c r="E252" s="242"/>
      <c r="F252" s="41"/>
      <c r="G252" s="292"/>
      <c r="H252" s="105"/>
      <c r="I252" s="126"/>
      <c r="J252" s="244"/>
      <c r="K252" s="47"/>
      <c r="L252" s="47"/>
      <c r="M252" s="47"/>
      <c r="N252" s="64"/>
      <c r="O252" s="268"/>
      <c r="P252" s="77"/>
      <c r="Q252" s="13" t="s">
        <v>291</v>
      </c>
      <c r="R252" s="187">
        <v>2</v>
      </c>
      <c r="S252" s="29" t="b">
        <v>0</v>
      </c>
      <c r="T252" s="60"/>
      <c r="U252" s="60"/>
      <c r="V252" s="216"/>
      <c r="W252" s="5"/>
    </row>
    <row r="253" spans="2:27" ht="21" x14ac:dyDescent="0.45">
      <c r="B253" s="272"/>
      <c r="C253" s="51"/>
      <c r="D253" s="51"/>
      <c r="E253" s="242"/>
      <c r="F253" s="41"/>
      <c r="G253" s="292"/>
      <c r="H253" s="105"/>
      <c r="I253" s="126"/>
      <c r="J253" s="244"/>
      <c r="K253" s="47"/>
      <c r="L253" s="47"/>
      <c r="M253" s="47"/>
      <c r="N253" s="64"/>
      <c r="O253" s="268"/>
      <c r="P253" s="77"/>
      <c r="Q253" s="13" t="s">
        <v>218</v>
      </c>
      <c r="R253" s="31">
        <v>1</v>
      </c>
      <c r="S253" s="29" t="b">
        <v>0</v>
      </c>
      <c r="T253" s="60"/>
      <c r="U253" s="60"/>
      <c r="V253" s="216"/>
      <c r="W253" s="5"/>
    </row>
    <row r="254" spans="2:27" ht="21.6" thickBot="1" x14ac:dyDescent="0.5">
      <c r="B254" s="272"/>
      <c r="C254" s="51"/>
      <c r="D254" s="51"/>
      <c r="E254" s="242"/>
      <c r="F254" s="41"/>
      <c r="G254" s="292"/>
      <c r="H254" s="105"/>
      <c r="I254" s="126"/>
      <c r="J254" s="244"/>
      <c r="K254" s="47"/>
      <c r="L254" s="47"/>
      <c r="M254" s="47"/>
      <c r="N254" s="64"/>
      <c r="O254" s="269"/>
      <c r="P254" s="78"/>
      <c r="Q254" s="13" t="s">
        <v>217</v>
      </c>
      <c r="R254" s="31">
        <v>0</v>
      </c>
      <c r="S254" s="29" t="b">
        <v>0</v>
      </c>
      <c r="T254" s="61"/>
      <c r="U254" s="61"/>
      <c r="V254" s="216"/>
      <c r="W254" s="5"/>
    </row>
    <row r="255" spans="2:27" ht="21.6" thickBot="1" x14ac:dyDescent="0.5">
      <c r="B255" s="272"/>
      <c r="C255" s="51"/>
      <c r="D255" s="51"/>
      <c r="E255" s="242"/>
      <c r="F255" s="41"/>
      <c r="G255" s="292"/>
      <c r="H255" s="105"/>
      <c r="I255" s="126"/>
      <c r="J255" s="244"/>
      <c r="K255" s="47"/>
      <c r="L255" s="47"/>
      <c r="M255" s="47"/>
      <c r="N255" s="288" t="s">
        <v>495</v>
      </c>
      <c r="O255" s="267" t="s">
        <v>221</v>
      </c>
      <c r="P255" s="81">
        <f>K250*0.5</f>
        <v>1.4225260416666663E-2</v>
      </c>
      <c r="Q255" s="13" t="s">
        <v>428</v>
      </c>
      <c r="R255" s="31">
        <v>1</v>
      </c>
      <c r="S255" s="29" t="b">
        <v>0</v>
      </c>
      <c r="T255" s="55" cm="1">
        <f t="array" ref="T255">SUMPRODUCT(R255:R259,--S255:S259)</f>
        <v>0</v>
      </c>
      <c r="U255" s="56" cm="1">
        <f t="array" ref="U255">IF(
 5=0,
  "",
  _xlfn.IFS(
    T255/5&gt;=0.8, 5,
    T255/5&gt;=0.6, 4,
    T255/5&gt;=0.4, 3,
    T255/5&gt;=0.2, 2,
    T255/5&gt;=0.1, 1,
    TRUE, 0
  )
)</f>
        <v>0</v>
      </c>
      <c r="V255" s="212">
        <f>U255/5*P255*100</f>
        <v>0</v>
      </c>
      <c r="W255" s="283" t="s">
        <v>245</v>
      </c>
      <c r="X255" s="141" t="s">
        <v>288</v>
      </c>
      <c r="Y255" s="137" t="s">
        <v>286</v>
      </c>
      <c r="Z255" s="135" t="s">
        <v>283</v>
      </c>
      <c r="AA255" s="136" t="s">
        <v>284</v>
      </c>
    </row>
    <row r="256" spans="2:27" ht="21" x14ac:dyDescent="0.45">
      <c r="B256" s="272"/>
      <c r="C256" s="51"/>
      <c r="D256" s="51"/>
      <c r="E256" s="242"/>
      <c r="F256" s="41"/>
      <c r="G256" s="292"/>
      <c r="H256" s="105"/>
      <c r="I256" s="126"/>
      <c r="J256" s="244"/>
      <c r="K256" s="47"/>
      <c r="L256" s="47"/>
      <c r="M256" s="47"/>
      <c r="N256" s="288"/>
      <c r="O256" s="268"/>
      <c r="P256" s="294" t="s">
        <v>260</v>
      </c>
      <c r="Q256" s="13" t="s">
        <v>429</v>
      </c>
      <c r="R256" s="31">
        <v>1</v>
      </c>
      <c r="S256" s="29" t="b">
        <v>0</v>
      </c>
      <c r="T256" s="60"/>
      <c r="U256" s="60"/>
      <c r="V256" s="216"/>
      <c r="W256" s="284"/>
      <c r="Y256" s="140" t="s">
        <v>278</v>
      </c>
      <c r="Z256" s="139"/>
      <c r="AA256" s="132">
        <f>SUMPRODUCT(V255*(Z256/100))</f>
        <v>0</v>
      </c>
    </row>
    <row r="257" spans="2:27" ht="21" x14ac:dyDescent="0.45">
      <c r="B257" s="272"/>
      <c r="C257" s="51"/>
      <c r="D257" s="51"/>
      <c r="E257" s="242"/>
      <c r="F257" s="41"/>
      <c r="G257" s="292"/>
      <c r="H257" s="105"/>
      <c r="I257" s="126"/>
      <c r="J257" s="244"/>
      <c r="K257" s="47"/>
      <c r="L257" s="47"/>
      <c r="M257" s="47"/>
      <c r="N257" s="288"/>
      <c r="O257" s="268"/>
      <c r="P257" s="294"/>
      <c r="Q257" s="13" t="s">
        <v>430</v>
      </c>
      <c r="R257" s="31">
        <v>1</v>
      </c>
      <c r="S257" s="29" t="b">
        <v>0</v>
      </c>
      <c r="T257" s="60"/>
      <c r="U257" s="60"/>
      <c r="V257" s="216"/>
      <c r="W257" s="284"/>
      <c r="Y257" s="140" t="s">
        <v>279</v>
      </c>
      <c r="Z257" s="139"/>
      <c r="AA257" s="132">
        <f>SUMPRODUCT(V260*(Z257/100))</f>
        <v>0</v>
      </c>
    </row>
    <row r="258" spans="2:27" ht="21" x14ac:dyDescent="0.45">
      <c r="B258" s="272"/>
      <c r="C258" s="51"/>
      <c r="D258" s="51"/>
      <c r="E258" s="242"/>
      <c r="F258" s="41"/>
      <c r="G258" s="292"/>
      <c r="H258" s="105"/>
      <c r="I258" s="126"/>
      <c r="J258" s="244"/>
      <c r="K258" s="47"/>
      <c r="L258" s="47"/>
      <c r="M258" s="47"/>
      <c r="N258" s="288"/>
      <c r="O258" s="268"/>
      <c r="P258" s="294"/>
      <c r="Q258" s="13" t="s">
        <v>431</v>
      </c>
      <c r="R258" s="31">
        <v>1</v>
      </c>
      <c r="S258" s="29" t="b">
        <v>0</v>
      </c>
      <c r="T258" s="60"/>
      <c r="U258" s="60"/>
      <c r="V258" s="216"/>
      <c r="W258" s="284"/>
      <c r="Y258" s="140" t="s">
        <v>280</v>
      </c>
      <c r="Z258" s="139"/>
      <c r="AA258" s="132">
        <f>SUMPRODUCT(V265*(Z258/100))</f>
        <v>0</v>
      </c>
    </row>
    <row r="259" spans="2:27" ht="21" x14ac:dyDescent="0.45">
      <c r="B259" s="272"/>
      <c r="C259" s="51"/>
      <c r="D259" s="51"/>
      <c r="E259" s="242"/>
      <c r="F259" s="41"/>
      <c r="G259" s="292"/>
      <c r="H259" s="105"/>
      <c r="I259" s="126"/>
      <c r="J259" s="244"/>
      <c r="K259" s="47"/>
      <c r="L259" s="47"/>
      <c r="M259" s="47"/>
      <c r="N259" s="288"/>
      <c r="O259" s="269"/>
      <c r="P259" s="294"/>
      <c r="Q259" s="13" t="s">
        <v>432</v>
      </c>
      <c r="R259" s="31">
        <v>1</v>
      </c>
      <c r="S259" s="29" t="b">
        <v>0</v>
      </c>
      <c r="T259" s="61"/>
      <c r="U259" s="61"/>
      <c r="V259" s="216"/>
      <c r="W259" s="285"/>
      <c r="Y259" s="140" t="s">
        <v>281</v>
      </c>
      <c r="Z259" s="139"/>
      <c r="AA259" s="132">
        <f>SUMPRODUCT(V270*(Z259/100))</f>
        <v>0</v>
      </c>
    </row>
    <row r="260" spans="2:27" ht="21" x14ac:dyDescent="0.45">
      <c r="B260" s="272"/>
      <c r="C260" s="51"/>
      <c r="D260" s="51"/>
      <c r="E260" s="242"/>
      <c r="F260" s="41"/>
      <c r="G260" s="292"/>
      <c r="H260" s="105"/>
      <c r="I260" s="126"/>
      <c r="J260" s="244"/>
      <c r="K260" s="47"/>
      <c r="L260" s="47"/>
      <c r="M260" s="47"/>
      <c r="N260" s="288" t="s">
        <v>496</v>
      </c>
      <c r="O260" s="267" t="s">
        <v>222</v>
      </c>
      <c r="P260" s="294"/>
      <c r="Q260" s="13" t="s">
        <v>433</v>
      </c>
      <c r="R260" s="31">
        <v>1</v>
      </c>
      <c r="S260" s="29" t="b">
        <v>0</v>
      </c>
      <c r="T260" s="55" cm="1">
        <f t="array" ref="T260">SUMPRODUCT(R260:R264,--S260:S264)</f>
        <v>0</v>
      </c>
      <c r="U260" s="56" cm="1">
        <f t="array" ref="U260">IF(
 5=0,
  "",
  _xlfn.IFS(
    T260/5&gt;=0.8, 5,
    T260/5&gt;=0.6, 4,
    T260/5&gt;=0.4, 3,
    T260/5&gt;=0.2, 2,
    T260/5&gt;=0.1, 1,
    TRUE, 0
  )
)</f>
        <v>0</v>
      </c>
      <c r="V260" s="212">
        <f>U260/5*P255*100</f>
        <v>0</v>
      </c>
      <c r="W260" s="283" t="s">
        <v>245</v>
      </c>
      <c r="Y260" s="140" t="s">
        <v>282</v>
      </c>
      <c r="Z260" s="139"/>
      <c r="AA260" s="132">
        <f>SUMPRODUCT(V275*(Z260/100))</f>
        <v>0</v>
      </c>
    </row>
    <row r="261" spans="2:27" ht="21.6" thickBot="1" x14ac:dyDescent="0.5">
      <c r="B261" s="272"/>
      <c r="C261" s="51"/>
      <c r="D261" s="51"/>
      <c r="E261" s="242"/>
      <c r="F261" s="41"/>
      <c r="G261" s="292"/>
      <c r="H261" s="105"/>
      <c r="I261" s="126"/>
      <c r="J261" s="244"/>
      <c r="K261" s="47"/>
      <c r="L261" s="47"/>
      <c r="M261" s="47"/>
      <c r="N261" s="288"/>
      <c r="O261" s="268"/>
      <c r="P261" s="294"/>
      <c r="Q261" s="13" t="s">
        <v>434</v>
      </c>
      <c r="R261" s="31">
        <v>1</v>
      </c>
      <c r="S261" s="29" t="b">
        <v>0</v>
      </c>
      <c r="T261" s="60"/>
      <c r="U261" s="60"/>
      <c r="V261" s="216"/>
      <c r="W261" s="284"/>
      <c r="Y261" s="138" t="s">
        <v>285</v>
      </c>
      <c r="Z261" s="133">
        <v>100</v>
      </c>
      <c r="AA261" s="134">
        <f>SUM(AA256:AA260)</f>
        <v>0</v>
      </c>
    </row>
    <row r="262" spans="2:27" ht="21" x14ac:dyDescent="0.45">
      <c r="B262" s="272"/>
      <c r="C262" s="51"/>
      <c r="D262" s="51"/>
      <c r="E262" s="242"/>
      <c r="F262" s="41"/>
      <c r="G262" s="292"/>
      <c r="H262" s="105"/>
      <c r="I262" s="126"/>
      <c r="J262" s="244"/>
      <c r="K262" s="47"/>
      <c r="L262" s="47"/>
      <c r="M262" s="47"/>
      <c r="N262" s="288"/>
      <c r="O262" s="268"/>
      <c r="P262" s="294"/>
      <c r="Q262" s="13" t="s">
        <v>435</v>
      </c>
      <c r="R262" s="31">
        <v>1</v>
      </c>
      <c r="S262" s="29" t="b">
        <v>0</v>
      </c>
      <c r="T262" s="60"/>
      <c r="U262" s="60"/>
      <c r="V262" s="216"/>
      <c r="W262" s="284"/>
    </row>
    <row r="263" spans="2:27" ht="21" x14ac:dyDescent="0.45">
      <c r="B263" s="272"/>
      <c r="C263" s="51"/>
      <c r="D263" s="51"/>
      <c r="E263" s="242"/>
      <c r="F263" s="41"/>
      <c r="G263" s="292"/>
      <c r="H263" s="105"/>
      <c r="I263" s="126"/>
      <c r="J263" s="244"/>
      <c r="K263" s="47"/>
      <c r="L263" s="47"/>
      <c r="M263" s="47"/>
      <c r="N263" s="288"/>
      <c r="O263" s="268"/>
      <c r="P263" s="294"/>
      <c r="Q263" s="13" t="s">
        <v>436</v>
      </c>
      <c r="R263" s="31">
        <v>1</v>
      </c>
      <c r="S263" s="29" t="b">
        <v>0</v>
      </c>
      <c r="T263" s="60"/>
      <c r="U263" s="60"/>
      <c r="V263" s="216"/>
      <c r="W263" s="284"/>
    </row>
    <row r="264" spans="2:27" ht="21" x14ac:dyDescent="0.45">
      <c r="B264" s="272"/>
      <c r="C264" s="51"/>
      <c r="D264" s="51"/>
      <c r="E264" s="242"/>
      <c r="F264" s="41"/>
      <c r="G264" s="292"/>
      <c r="H264" s="105"/>
      <c r="I264" s="126"/>
      <c r="J264" s="244"/>
      <c r="K264" s="47"/>
      <c r="L264" s="47"/>
      <c r="M264" s="47"/>
      <c r="N264" s="288"/>
      <c r="O264" s="269"/>
      <c r="P264" s="294"/>
      <c r="Q264" s="13" t="s">
        <v>437</v>
      </c>
      <c r="R264" s="31">
        <v>1</v>
      </c>
      <c r="S264" s="29" t="b">
        <v>0</v>
      </c>
      <c r="T264" s="61"/>
      <c r="U264" s="61"/>
      <c r="V264" s="216"/>
      <c r="W264" s="285"/>
    </row>
    <row r="265" spans="2:27" ht="21" x14ac:dyDescent="0.45">
      <c r="B265" s="272"/>
      <c r="C265" s="51"/>
      <c r="D265" s="51"/>
      <c r="E265" s="242"/>
      <c r="F265" s="41"/>
      <c r="G265" s="292"/>
      <c r="H265" s="105"/>
      <c r="I265" s="126"/>
      <c r="J265" s="244"/>
      <c r="K265" s="47"/>
      <c r="L265" s="47"/>
      <c r="M265" s="47"/>
      <c r="N265" s="288" t="s">
        <v>497</v>
      </c>
      <c r="O265" s="267" t="s">
        <v>223</v>
      </c>
      <c r="P265" s="294"/>
      <c r="Q265" s="13" t="s">
        <v>438</v>
      </c>
      <c r="R265" s="31">
        <v>1</v>
      </c>
      <c r="S265" s="29" t="b">
        <v>0</v>
      </c>
      <c r="T265" s="55" cm="1">
        <f t="array" ref="T265">SUMPRODUCT(R265:R269,--S265:S269)</f>
        <v>0</v>
      </c>
      <c r="U265" s="56" cm="1">
        <f t="array" ref="U265">IF(
 5=0,
  "",
  _xlfn.IFS(
    T265/5&gt;=0.8, 5,
    T265/5&gt;=0.6, 4,
    T265/5&gt;=0.4, 3,
    T265/5&gt;=0.2, 2,
    T265/5&gt;=0.1, 1,
    TRUE, 0
  )
)</f>
        <v>0</v>
      </c>
      <c r="V265" s="212">
        <f>U265/5*P255*100</f>
        <v>0</v>
      </c>
      <c r="W265" s="283" t="s">
        <v>245</v>
      </c>
    </row>
    <row r="266" spans="2:27" ht="21" x14ac:dyDescent="0.45">
      <c r="B266" s="272"/>
      <c r="C266" s="51"/>
      <c r="D266" s="51"/>
      <c r="E266" s="242"/>
      <c r="F266" s="41"/>
      <c r="G266" s="292"/>
      <c r="H266" s="105"/>
      <c r="I266" s="126"/>
      <c r="J266" s="244"/>
      <c r="K266" s="47"/>
      <c r="L266" s="47"/>
      <c r="M266" s="47"/>
      <c r="N266" s="288"/>
      <c r="O266" s="268"/>
      <c r="P266" s="294"/>
      <c r="Q266" s="13" t="s">
        <v>439</v>
      </c>
      <c r="R266" s="31">
        <v>1</v>
      </c>
      <c r="S266" s="29" t="b">
        <v>0</v>
      </c>
      <c r="T266" s="60"/>
      <c r="U266" s="60"/>
      <c r="V266" s="216"/>
      <c r="W266" s="284"/>
    </row>
    <row r="267" spans="2:27" ht="21" x14ac:dyDescent="0.45">
      <c r="B267" s="272"/>
      <c r="C267" s="51"/>
      <c r="D267" s="51"/>
      <c r="E267" s="242"/>
      <c r="F267" s="41"/>
      <c r="G267" s="292"/>
      <c r="H267" s="105"/>
      <c r="I267" s="126"/>
      <c r="J267" s="244"/>
      <c r="K267" s="47"/>
      <c r="L267" s="47"/>
      <c r="M267" s="47"/>
      <c r="N267" s="288"/>
      <c r="O267" s="268"/>
      <c r="P267" s="294"/>
      <c r="Q267" s="13" t="s">
        <v>440</v>
      </c>
      <c r="R267" s="31">
        <v>1</v>
      </c>
      <c r="S267" s="29" t="b">
        <v>0</v>
      </c>
      <c r="T267" s="60"/>
      <c r="U267" s="60"/>
      <c r="V267" s="216"/>
      <c r="W267" s="284"/>
    </row>
    <row r="268" spans="2:27" ht="21" x14ac:dyDescent="0.45">
      <c r="B268" s="272"/>
      <c r="C268" s="51"/>
      <c r="D268" s="51"/>
      <c r="E268" s="242"/>
      <c r="F268" s="41"/>
      <c r="G268" s="292"/>
      <c r="H268" s="105"/>
      <c r="I268" s="126"/>
      <c r="J268" s="244"/>
      <c r="K268" s="47"/>
      <c r="L268" s="47"/>
      <c r="M268" s="47"/>
      <c r="N268" s="288"/>
      <c r="O268" s="268"/>
      <c r="P268" s="294"/>
      <c r="Q268" s="13" t="s">
        <v>441</v>
      </c>
      <c r="R268" s="31">
        <v>1</v>
      </c>
      <c r="S268" s="29" t="b">
        <v>0</v>
      </c>
      <c r="T268" s="60"/>
      <c r="U268" s="60"/>
      <c r="V268" s="216"/>
      <c r="W268" s="284"/>
    </row>
    <row r="269" spans="2:27" ht="21" x14ac:dyDescent="0.45">
      <c r="B269" s="272"/>
      <c r="C269" s="51"/>
      <c r="D269" s="51"/>
      <c r="E269" s="242"/>
      <c r="F269" s="41"/>
      <c r="G269" s="292"/>
      <c r="H269" s="105"/>
      <c r="I269" s="126"/>
      <c r="J269" s="244"/>
      <c r="K269" s="47"/>
      <c r="L269" s="47"/>
      <c r="M269" s="47"/>
      <c r="N269" s="288"/>
      <c r="O269" s="269"/>
      <c r="P269" s="294"/>
      <c r="Q269" s="13" t="s">
        <v>442</v>
      </c>
      <c r="R269" s="31">
        <v>1</v>
      </c>
      <c r="S269" s="29" t="b">
        <v>0</v>
      </c>
      <c r="T269" s="61"/>
      <c r="U269" s="61"/>
      <c r="V269" s="216"/>
      <c r="W269" s="285"/>
    </row>
    <row r="270" spans="2:27" ht="21" x14ac:dyDescent="0.45">
      <c r="B270" s="272"/>
      <c r="C270" s="51"/>
      <c r="D270" s="51"/>
      <c r="E270" s="242"/>
      <c r="F270" s="41"/>
      <c r="G270" s="292"/>
      <c r="H270" s="105"/>
      <c r="I270" s="126"/>
      <c r="J270" s="244"/>
      <c r="K270" s="47"/>
      <c r="L270" s="47"/>
      <c r="M270" s="47"/>
      <c r="N270" s="288" t="s">
        <v>498</v>
      </c>
      <c r="O270" s="267" t="s">
        <v>224</v>
      </c>
      <c r="P270" s="294"/>
      <c r="Q270" s="13" t="s">
        <v>443</v>
      </c>
      <c r="R270" s="31">
        <v>1</v>
      </c>
      <c r="S270" s="29" t="b">
        <v>0</v>
      </c>
      <c r="T270" s="55" cm="1">
        <f t="array" ref="T270">SUMPRODUCT(R270:R274,--S270:S274)</f>
        <v>0</v>
      </c>
      <c r="U270" s="56" cm="1">
        <f t="array" ref="U270">IF(
 5=0,
  "",
  _xlfn.IFS(
    T270/5&gt;=0.8, 5,
    T270/5&gt;=0.6, 4,
    T270/5&gt;=0.4, 3,
    T270/5&gt;=0.2, 2,
    T270/5&gt;=0.1, 1,
    TRUE, 0
  )
)</f>
        <v>0</v>
      </c>
      <c r="V270" s="212">
        <f>U270/5*P255*100</f>
        <v>0</v>
      </c>
      <c r="W270" s="283" t="s">
        <v>245</v>
      </c>
    </row>
    <row r="271" spans="2:27" ht="21" x14ac:dyDescent="0.45">
      <c r="B271" s="272"/>
      <c r="C271" s="51"/>
      <c r="D271" s="51"/>
      <c r="E271" s="242"/>
      <c r="F271" s="41"/>
      <c r="G271" s="292"/>
      <c r="H271" s="105"/>
      <c r="I271" s="126"/>
      <c r="J271" s="244"/>
      <c r="K271" s="47"/>
      <c r="L271" s="47"/>
      <c r="M271" s="47"/>
      <c r="N271" s="288"/>
      <c r="O271" s="268"/>
      <c r="P271" s="294"/>
      <c r="Q271" s="13" t="s">
        <v>444</v>
      </c>
      <c r="R271" s="31">
        <v>1</v>
      </c>
      <c r="S271" s="29" t="b">
        <v>0</v>
      </c>
      <c r="T271" s="60"/>
      <c r="U271" s="60"/>
      <c r="V271" s="216"/>
      <c r="W271" s="284"/>
    </row>
    <row r="272" spans="2:27" ht="21" x14ac:dyDescent="0.45">
      <c r="B272" s="272"/>
      <c r="C272" s="51"/>
      <c r="D272" s="51"/>
      <c r="E272" s="242"/>
      <c r="F272" s="41"/>
      <c r="G272" s="292"/>
      <c r="H272" s="105"/>
      <c r="I272" s="126"/>
      <c r="J272" s="244"/>
      <c r="K272" s="47"/>
      <c r="L272" s="47"/>
      <c r="M272" s="47"/>
      <c r="N272" s="288"/>
      <c r="O272" s="268"/>
      <c r="P272" s="294"/>
      <c r="Q272" s="13" t="s">
        <v>445</v>
      </c>
      <c r="R272" s="31">
        <v>1</v>
      </c>
      <c r="S272" s="29" t="b">
        <v>0</v>
      </c>
      <c r="T272" s="60"/>
      <c r="U272" s="60"/>
      <c r="V272" s="216"/>
      <c r="W272" s="284"/>
    </row>
    <row r="273" spans="2:27" ht="21" x14ac:dyDescent="0.45">
      <c r="B273" s="272"/>
      <c r="C273" s="51"/>
      <c r="D273" s="51"/>
      <c r="E273" s="242"/>
      <c r="F273" s="41"/>
      <c r="G273" s="292"/>
      <c r="H273" s="105"/>
      <c r="I273" s="126"/>
      <c r="J273" s="244"/>
      <c r="K273" s="47"/>
      <c r="L273" s="47"/>
      <c r="M273" s="47"/>
      <c r="N273" s="288"/>
      <c r="O273" s="268"/>
      <c r="P273" s="294"/>
      <c r="Q273" s="13" t="s">
        <v>446</v>
      </c>
      <c r="R273" s="31">
        <v>1</v>
      </c>
      <c r="S273" s="29" t="b">
        <v>0</v>
      </c>
      <c r="T273" s="60"/>
      <c r="U273" s="60"/>
      <c r="V273" s="216"/>
      <c r="W273" s="284"/>
    </row>
    <row r="274" spans="2:27" ht="21" x14ac:dyDescent="0.45">
      <c r="B274" s="272"/>
      <c r="C274" s="51"/>
      <c r="D274" s="51"/>
      <c r="E274" s="242"/>
      <c r="F274" s="41"/>
      <c r="G274" s="292"/>
      <c r="H274" s="105"/>
      <c r="I274" s="126"/>
      <c r="J274" s="244"/>
      <c r="K274" s="47"/>
      <c r="L274" s="47"/>
      <c r="M274" s="47"/>
      <c r="N274" s="288"/>
      <c r="O274" s="269"/>
      <c r="P274" s="294"/>
      <c r="Q274" s="13" t="s">
        <v>447</v>
      </c>
      <c r="R274" s="31">
        <v>1</v>
      </c>
      <c r="S274" s="29" t="b">
        <v>0</v>
      </c>
      <c r="T274" s="61"/>
      <c r="U274" s="61"/>
      <c r="V274" s="216"/>
      <c r="W274" s="285"/>
    </row>
    <row r="275" spans="2:27" ht="21" x14ac:dyDescent="0.45">
      <c r="B275" s="272"/>
      <c r="C275" s="51"/>
      <c r="D275" s="51"/>
      <c r="E275" s="242"/>
      <c r="F275" s="41"/>
      <c r="G275" s="292"/>
      <c r="H275" s="105"/>
      <c r="I275" s="126"/>
      <c r="J275" s="244"/>
      <c r="K275" s="47"/>
      <c r="L275" s="47"/>
      <c r="M275" s="47"/>
      <c r="N275" s="288" t="s">
        <v>499</v>
      </c>
      <c r="O275" s="267" t="s">
        <v>225</v>
      </c>
      <c r="P275" s="294"/>
      <c r="Q275" s="13" t="s">
        <v>448</v>
      </c>
      <c r="R275" s="31">
        <v>1</v>
      </c>
      <c r="S275" s="29" t="b">
        <v>0</v>
      </c>
      <c r="T275" s="55" cm="1">
        <f t="array" ref="T275">SUMPRODUCT(R275:R279,--S275:S279)</f>
        <v>0</v>
      </c>
      <c r="U275" s="56" cm="1">
        <f t="array" ref="U275">IF(
 5=0,
  "",
  _xlfn.IFS(
    T275/5&gt;=0.8, 5,
    T275/5&gt;=0.6, 4,
    T275/5&gt;=0.4, 3,
    T275/5&gt;=0.2, 2,
    T275/5&gt;=0.1, 1,
    TRUE, 0
  )
)</f>
        <v>0</v>
      </c>
      <c r="V275" s="212">
        <f>U275/5*P255*100</f>
        <v>0</v>
      </c>
      <c r="W275" s="283" t="s">
        <v>245</v>
      </c>
    </row>
    <row r="276" spans="2:27" ht="21" x14ac:dyDescent="0.45">
      <c r="B276" s="272"/>
      <c r="C276" s="51"/>
      <c r="D276" s="51"/>
      <c r="E276" s="242"/>
      <c r="F276" s="41"/>
      <c r="G276" s="292"/>
      <c r="H276" s="105"/>
      <c r="I276" s="126"/>
      <c r="J276" s="244"/>
      <c r="K276" s="47"/>
      <c r="L276" s="47"/>
      <c r="M276" s="47"/>
      <c r="N276" s="288"/>
      <c r="O276" s="268"/>
      <c r="P276" s="294"/>
      <c r="Q276" s="13" t="s">
        <v>449</v>
      </c>
      <c r="R276" s="31">
        <v>1</v>
      </c>
      <c r="S276" s="29" t="b">
        <v>0</v>
      </c>
      <c r="T276" s="60"/>
      <c r="U276" s="60"/>
      <c r="V276" s="216"/>
      <c r="W276" s="284"/>
    </row>
    <row r="277" spans="2:27" ht="21" x14ac:dyDescent="0.45">
      <c r="B277" s="272"/>
      <c r="C277" s="51"/>
      <c r="D277" s="51"/>
      <c r="E277" s="242"/>
      <c r="F277" s="41"/>
      <c r="G277" s="292"/>
      <c r="H277" s="105"/>
      <c r="I277" s="126"/>
      <c r="J277" s="244"/>
      <c r="K277" s="47"/>
      <c r="L277" s="47"/>
      <c r="M277" s="47"/>
      <c r="N277" s="288"/>
      <c r="O277" s="268"/>
      <c r="P277" s="294"/>
      <c r="Q277" s="13" t="s">
        <v>450</v>
      </c>
      <c r="R277" s="31">
        <v>1</v>
      </c>
      <c r="S277" s="29" t="b">
        <v>0</v>
      </c>
      <c r="T277" s="60"/>
      <c r="U277" s="60"/>
      <c r="V277" s="216"/>
      <c r="W277" s="284"/>
    </row>
    <row r="278" spans="2:27" ht="21" x14ac:dyDescent="0.45">
      <c r="B278" s="272"/>
      <c r="C278" s="51"/>
      <c r="D278" s="51"/>
      <c r="E278" s="242"/>
      <c r="F278" s="41"/>
      <c r="G278" s="292"/>
      <c r="H278" s="105"/>
      <c r="I278" s="126"/>
      <c r="J278" s="244"/>
      <c r="K278" s="47"/>
      <c r="L278" s="47"/>
      <c r="M278" s="47"/>
      <c r="N278" s="288"/>
      <c r="O278" s="268"/>
      <c r="P278" s="294"/>
      <c r="Q278" s="13" t="s">
        <v>451</v>
      </c>
      <c r="R278" s="31">
        <v>1</v>
      </c>
      <c r="S278" s="29" t="b">
        <v>0</v>
      </c>
      <c r="T278" s="60"/>
      <c r="U278" s="60"/>
      <c r="V278" s="216"/>
      <c r="W278" s="284"/>
    </row>
    <row r="279" spans="2:27" ht="21.6" thickBot="1" x14ac:dyDescent="0.5">
      <c r="B279" s="272"/>
      <c r="C279" s="51"/>
      <c r="D279" s="51"/>
      <c r="E279" s="242"/>
      <c r="F279" s="41"/>
      <c r="G279" s="292"/>
      <c r="H279" s="105"/>
      <c r="I279" s="126"/>
      <c r="J279" s="245"/>
      <c r="K279" s="46"/>
      <c r="L279" s="46"/>
      <c r="M279" s="46"/>
      <c r="N279" s="288"/>
      <c r="O279" s="269"/>
      <c r="P279" s="295"/>
      <c r="Q279" s="13" t="s">
        <v>452</v>
      </c>
      <c r="R279" s="31">
        <v>1</v>
      </c>
      <c r="S279" s="29" t="b">
        <v>0</v>
      </c>
      <c r="T279" s="61"/>
      <c r="U279" s="61"/>
      <c r="V279" s="216"/>
      <c r="W279" s="285"/>
    </row>
    <row r="280" spans="2:27" ht="21.6" thickBot="1" x14ac:dyDescent="0.5">
      <c r="B280" s="272"/>
      <c r="C280" s="51"/>
      <c r="D280" s="51"/>
      <c r="E280" s="242"/>
      <c r="F280" s="41"/>
      <c r="G280" s="292"/>
      <c r="H280" s="105"/>
      <c r="I280" s="126"/>
      <c r="J280" s="248" t="s">
        <v>36</v>
      </c>
      <c r="K280" s="107">
        <f>H250*0.520833333333333</f>
        <v>3.0924479166666619E-2</v>
      </c>
      <c r="L280" s="107"/>
      <c r="M280" s="107"/>
      <c r="N280" s="296" t="s">
        <v>495</v>
      </c>
      <c r="O280" s="267" t="s">
        <v>226</v>
      </c>
      <c r="P280" s="81">
        <f>K280*0.5</f>
        <v>1.546223958333331E-2</v>
      </c>
      <c r="Q280" s="13" t="s">
        <v>453</v>
      </c>
      <c r="R280" s="31">
        <v>1</v>
      </c>
      <c r="S280" s="29" t="b">
        <v>0</v>
      </c>
      <c r="T280" s="55" cm="1">
        <f t="array" ref="T280">SUMPRODUCT(R280:R283,--S280:S283)</f>
        <v>0</v>
      </c>
      <c r="U280" s="56" cm="1">
        <f t="array" ref="U280">IF(
4=0,
  "",
  _xlfn.IFS(
    T280/4&gt;=0.8, 5,
    T280/4&gt;=0.6, 4,
    T280/4&gt;=0.4, 3,
    T280/4&gt;=0.2, 2,
    T280/4&gt;=0.1, 1,
    TRUE, 0
  )
)</f>
        <v>0</v>
      </c>
      <c r="V280" s="212">
        <f>U280/5*P280*100</f>
        <v>0</v>
      </c>
      <c r="W280" s="283" t="s">
        <v>150</v>
      </c>
      <c r="X280" s="141" t="s">
        <v>288</v>
      </c>
      <c r="Y280" s="137" t="s">
        <v>286</v>
      </c>
      <c r="Z280" s="135" t="s">
        <v>283</v>
      </c>
      <c r="AA280" s="136" t="s">
        <v>284</v>
      </c>
    </row>
    <row r="281" spans="2:27" ht="21" customHeight="1" x14ac:dyDescent="0.45">
      <c r="B281" s="272"/>
      <c r="C281" s="51"/>
      <c r="D281" s="51"/>
      <c r="E281" s="242"/>
      <c r="F281" s="41"/>
      <c r="G281" s="292"/>
      <c r="H281" s="105"/>
      <c r="I281" s="126"/>
      <c r="J281" s="244"/>
      <c r="K281" s="294" t="s">
        <v>256</v>
      </c>
      <c r="L281" s="238"/>
      <c r="M281" s="238"/>
      <c r="N281" s="296"/>
      <c r="O281" s="268"/>
      <c r="P281" s="82"/>
      <c r="Q281" s="13" t="s">
        <v>454</v>
      </c>
      <c r="R281" s="31">
        <v>1</v>
      </c>
      <c r="S281" s="29" t="b">
        <v>0</v>
      </c>
      <c r="T281" s="60"/>
      <c r="U281" s="60"/>
      <c r="V281" s="216"/>
      <c r="W281" s="284"/>
      <c r="Y281" s="140" t="s">
        <v>278</v>
      </c>
      <c r="Z281" s="139"/>
      <c r="AA281" s="132">
        <f>SUMPRODUCT((V280+V284)*(Z281/100))</f>
        <v>0</v>
      </c>
    </row>
    <row r="282" spans="2:27" ht="21" x14ac:dyDescent="0.45">
      <c r="B282" s="272"/>
      <c r="C282" s="51"/>
      <c r="D282" s="51"/>
      <c r="E282" s="242"/>
      <c r="F282" s="41"/>
      <c r="G282" s="292"/>
      <c r="H282" s="105"/>
      <c r="I282" s="126"/>
      <c r="J282" s="244"/>
      <c r="K282" s="294"/>
      <c r="L282" s="238"/>
      <c r="M282" s="238"/>
      <c r="N282" s="296"/>
      <c r="O282" s="268"/>
      <c r="P282" s="82"/>
      <c r="Q282" s="13" t="s">
        <v>455</v>
      </c>
      <c r="R282" s="31">
        <v>1</v>
      </c>
      <c r="S282" s="29" t="b">
        <v>0</v>
      </c>
      <c r="T282" s="60"/>
      <c r="U282" s="60"/>
      <c r="V282" s="216"/>
      <c r="W282" s="284"/>
      <c r="Y282" s="140" t="s">
        <v>279</v>
      </c>
      <c r="Z282" s="139"/>
      <c r="AA282" s="132">
        <f>SUMPRODUCT((V288+V292)*(Z282/100))</f>
        <v>0</v>
      </c>
    </row>
    <row r="283" spans="2:27" ht="21" x14ac:dyDescent="0.45">
      <c r="B283" s="272"/>
      <c r="C283" s="51"/>
      <c r="D283" s="51"/>
      <c r="E283" s="242"/>
      <c r="F283" s="41"/>
      <c r="G283" s="292"/>
      <c r="H283" s="105"/>
      <c r="I283" s="126"/>
      <c r="J283" s="244"/>
      <c r="K283" s="294"/>
      <c r="L283" s="238"/>
      <c r="M283" s="238"/>
      <c r="N283" s="296"/>
      <c r="O283" s="269"/>
      <c r="P283" s="83"/>
      <c r="Q283" s="13" t="s">
        <v>456</v>
      </c>
      <c r="R283" s="31">
        <v>1</v>
      </c>
      <c r="S283" s="29" t="b">
        <v>0</v>
      </c>
      <c r="T283" s="61"/>
      <c r="U283" s="61"/>
      <c r="V283" s="216"/>
      <c r="W283" s="285"/>
      <c r="Y283" s="140" t="s">
        <v>280</v>
      </c>
      <c r="Z283" s="139"/>
      <c r="AA283" s="132">
        <f>SUMPRODUCT((V296+V300)*(Z283/100))</f>
        <v>0</v>
      </c>
    </row>
    <row r="284" spans="2:27" ht="21" x14ac:dyDescent="0.45">
      <c r="B284" s="272"/>
      <c r="C284" s="51"/>
      <c r="D284" s="51"/>
      <c r="E284" s="242"/>
      <c r="F284" s="41"/>
      <c r="G284" s="292"/>
      <c r="H284" s="105"/>
      <c r="I284" s="126"/>
      <c r="J284" s="244"/>
      <c r="K284" s="294"/>
      <c r="L284" s="238"/>
      <c r="M284" s="238"/>
      <c r="N284" s="296"/>
      <c r="O284" s="267" t="s">
        <v>227</v>
      </c>
      <c r="P284" s="81">
        <f>K280*0.5</f>
        <v>1.546223958333331E-2</v>
      </c>
      <c r="Q284" s="13" t="s">
        <v>457</v>
      </c>
      <c r="R284" s="31">
        <v>3</v>
      </c>
      <c r="S284" s="29" t="b">
        <v>0</v>
      </c>
      <c r="T284" s="55" cm="1">
        <f t="array" ref="T284">SUMPRODUCT(R284:R287,--S284:S287)</f>
        <v>0</v>
      </c>
      <c r="U284" s="56"/>
      <c r="V284" s="212">
        <f>T284/R284*P284*100</f>
        <v>0</v>
      </c>
      <c r="W284" s="5"/>
      <c r="Y284" s="140" t="s">
        <v>281</v>
      </c>
      <c r="Z284" s="139"/>
      <c r="AA284" s="132">
        <f>SUMPRODUCT((V304+V308)*(Z284/100))</f>
        <v>0</v>
      </c>
    </row>
    <row r="285" spans="2:27" ht="21" x14ac:dyDescent="0.45">
      <c r="B285" s="272"/>
      <c r="C285" s="51"/>
      <c r="D285" s="51"/>
      <c r="E285" s="242"/>
      <c r="F285" s="41"/>
      <c r="G285" s="292"/>
      <c r="H285" s="105"/>
      <c r="I285" s="126"/>
      <c r="J285" s="244"/>
      <c r="K285" s="294"/>
      <c r="L285" s="238"/>
      <c r="M285" s="238"/>
      <c r="N285" s="296"/>
      <c r="O285" s="268"/>
      <c r="P285" s="82"/>
      <c r="Q285" s="13" t="s">
        <v>458</v>
      </c>
      <c r="R285" s="31">
        <v>2</v>
      </c>
      <c r="S285" s="29" t="b">
        <v>0</v>
      </c>
      <c r="T285" s="60"/>
      <c r="U285" s="60"/>
      <c r="V285" s="216"/>
      <c r="W285" s="5"/>
      <c r="Y285" s="140" t="s">
        <v>282</v>
      </c>
      <c r="Z285" s="139"/>
      <c r="AA285" s="132">
        <f>SUMPRODUCT((V312+V317)*(Z285/100))</f>
        <v>0</v>
      </c>
    </row>
    <row r="286" spans="2:27" ht="21.6" thickBot="1" x14ac:dyDescent="0.5">
      <c r="B286" s="272"/>
      <c r="C286" s="51"/>
      <c r="D286" s="51"/>
      <c r="E286" s="242"/>
      <c r="F286" s="41"/>
      <c r="G286" s="292"/>
      <c r="H286" s="105"/>
      <c r="I286" s="126"/>
      <c r="J286" s="244"/>
      <c r="K286" s="294"/>
      <c r="L286" s="238"/>
      <c r="M286" s="238"/>
      <c r="N286" s="296"/>
      <c r="O286" s="268"/>
      <c r="P286" s="82"/>
      <c r="Q286" s="13" t="s">
        <v>459</v>
      </c>
      <c r="R286" s="31">
        <v>1</v>
      </c>
      <c r="S286" s="29" t="b">
        <v>0</v>
      </c>
      <c r="T286" s="60"/>
      <c r="U286" s="60"/>
      <c r="V286" s="216"/>
      <c r="W286" s="5"/>
      <c r="Y286" s="138" t="s">
        <v>285</v>
      </c>
      <c r="Z286" s="133">
        <v>100</v>
      </c>
      <c r="AA286" s="134">
        <f>SUM(AA281:AA285)</f>
        <v>0</v>
      </c>
    </row>
    <row r="287" spans="2:27" ht="21" x14ac:dyDescent="0.45">
      <c r="B287" s="272"/>
      <c r="C287" s="51"/>
      <c r="D287" s="51"/>
      <c r="E287" s="242"/>
      <c r="F287" s="41"/>
      <c r="G287" s="292"/>
      <c r="H287" s="105"/>
      <c r="I287" s="126"/>
      <c r="J287" s="244"/>
      <c r="K287" s="294"/>
      <c r="L287" s="238"/>
      <c r="M287" s="238"/>
      <c r="N287" s="296"/>
      <c r="O287" s="269"/>
      <c r="P287" s="83"/>
      <c r="Q287" s="13" t="s">
        <v>460</v>
      </c>
      <c r="R287" s="31">
        <v>0</v>
      </c>
      <c r="S287" s="29" t="b">
        <v>0</v>
      </c>
      <c r="T287" s="61"/>
      <c r="U287" s="61"/>
      <c r="V287" s="216"/>
      <c r="W287" s="5"/>
    </row>
    <row r="288" spans="2:27" ht="21" x14ac:dyDescent="0.45">
      <c r="B288" s="272"/>
      <c r="C288" s="51"/>
      <c r="D288" s="51"/>
      <c r="E288" s="242"/>
      <c r="F288" s="41"/>
      <c r="G288" s="292"/>
      <c r="H288" s="105"/>
      <c r="I288" s="126"/>
      <c r="J288" s="244"/>
      <c r="K288" s="294"/>
      <c r="L288" s="238"/>
      <c r="M288" s="238"/>
      <c r="N288" s="288" t="s">
        <v>496</v>
      </c>
      <c r="O288" s="267" t="s">
        <v>228</v>
      </c>
      <c r="P288" s="81">
        <f>K280*0.5</f>
        <v>1.546223958333331E-2</v>
      </c>
      <c r="Q288" s="13" t="s">
        <v>239</v>
      </c>
      <c r="R288" s="31">
        <v>3</v>
      </c>
      <c r="S288" s="29" t="b">
        <v>0</v>
      </c>
      <c r="T288" s="55" cm="1">
        <f t="array" ref="T288">SUMPRODUCT(R288:R291,--S288:S291)</f>
        <v>0</v>
      </c>
      <c r="U288" s="56"/>
      <c r="V288" s="212">
        <f>T288/R288*P288*100</f>
        <v>0</v>
      </c>
      <c r="W288" s="5"/>
    </row>
    <row r="289" spans="2:23" ht="21" x14ac:dyDescent="0.45">
      <c r="B289" s="272"/>
      <c r="C289" s="51"/>
      <c r="D289" s="51"/>
      <c r="E289" s="242"/>
      <c r="F289" s="41"/>
      <c r="G289" s="292"/>
      <c r="H289" s="105"/>
      <c r="I289" s="126"/>
      <c r="J289" s="244"/>
      <c r="K289" s="294"/>
      <c r="L289" s="238"/>
      <c r="M289" s="238"/>
      <c r="N289" s="288"/>
      <c r="O289" s="268"/>
      <c r="P289" s="82"/>
      <c r="Q289" s="13" t="s">
        <v>238</v>
      </c>
      <c r="R289" s="31">
        <v>2</v>
      </c>
      <c r="S289" s="29" t="b">
        <v>0</v>
      </c>
      <c r="T289" s="60"/>
      <c r="U289" s="60"/>
      <c r="V289" s="216"/>
      <c r="W289" s="5"/>
    </row>
    <row r="290" spans="2:23" ht="21" x14ac:dyDescent="0.45">
      <c r="B290" s="272"/>
      <c r="C290" s="51"/>
      <c r="D290" s="51"/>
      <c r="E290" s="242"/>
      <c r="F290" s="41"/>
      <c r="G290" s="292"/>
      <c r="H290" s="105"/>
      <c r="I290" s="126"/>
      <c r="J290" s="244"/>
      <c r="K290" s="294"/>
      <c r="L290" s="238"/>
      <c r="M290" s="238"/>
      <c r="N290" s="288"/>
      <c r="O290" s="268"/>
      <c r="P290" s="82"/>
      <c r="Q290" s="13" t="s">
        <v>237</v>
      </c>
      <c r="R290" s="31">
        <v>1</v>
      </c>
      <c r="S290" s="29" t="b">
        <v>0</v>
      </c>
      <c r="T290" s="60"/>
      <c r="U290" s="60"/>
      <c r="V290" s="216"/>
      <c r="W290" s="5"/>
    </row>
    <row r="291" spans="2:23" ht="21" x14ac:dyDescent="0.45">
      <c r="B291" s="272"/>
      <c r="C291" s="51"/>
      <c r="D291" s="51"/>
      <c r="E291" s="242"/>
      <c r="F291" s="41"/>
      <c r="G291" s="292"/>
      <c r="H291" s="105"/>
      <c r="I291" s="126"/>
      <c r="J291" s="244"/>
      <c r="K291" s="294"/>
      <c r="L291" s="238"/>
      <c r="M291" s="238"/>
      <c r="N291" s="288"/>
      <c r="O291" s="269"/>
      <c r="P291" s="83"/>
      <c r="Q291" s="13" t="s">
        <v>236</v>
      </c>
      <c r="R291" s="31">
        <v>0</v>
      </c>
      <c r="S291" s="29" t="b">
        <v>0</v>
      </c>
      <c r="T291" s="61"/>
      <c r="U291" s="61"/>
      <c r="V291" s="216"/>
      <c r="W291" s="5"/>
    </row>
    <row r="292" spans="2:23" ht="21" x14ac:dyDescent="0.45">
      <c r="B292" s="272"/>
      <c r="C292" s="51"/>
      <c r="D292" s="51"/>
      <c r="E292" s="242"/>
      <c r="F292" s="41"/>
      <c r="G292" s="292"/>
      <c r="H292" s="105"/>
      <c r="I292" s="126"/>
      <c r="J292" s="244"/>
      <c r="K292" s="294"/>
      <c r="L292" s="238"/>
      <c r="M292" s="238"/>
      <c r="N292" s="288"/>
      <c r="O292" s="267" t="s">
        <v>229</v>
      </c>
      <c r="P292" s="81">
        <f>K280*0.5</f>
        <v>1.546223958333331E-2</v>
      </c>
      <c r="Q292" s="13" t="s">
        <v>461</v>
      </c>
      <c r="R292" s="31">
        <v>1</v>
      </c>
      <c r="S292" s="29" t="b">
        <v>0</v>
      </c>
      <c r="T292" s="55" cm="1">
        <f t="array" ref="T292">SUMPRODUCT(R292:R295,--S292:S295)</f>
        <v>0</v>
      </c>
      <c r="U292" s="56" cm="1">
        <f t="array" ref="U292">IF(
4=0,
  "",
  _xlfn.IFS(
    T292/4&gt;=0.8, 5,
    T292/4&gt;=0.6, 4,
    T292/4&gt;=0.4, 3,
    T292/4&gt;=0.2, 2,
    T292/4&gt;=0.1, 1,
    TRUE, 0
  )
)</f>
        <v>0</v>
      </c>
      <c r="V292" s="212">
        <f>U292/5*P292*100</f>
        <v>0</v>
      </c>
      <c r="W292" s="283" t="s">
        <v>150</v>
      </c>
    </row>
    <row r="293" spans="2:23" ht="21" x14ac:dyDescent="0.45">
      <c r="B293" s="272"/>
      <c r="C293" s="51"/>
      <c r="D293" s="51"/>
      <c r="E293" s="242"/>
      <c r="F293" s="41"/>
      <c r="G293" s="292"/>
      <c r="H293" s="105"/>
      <c r="I293" s="126"/>
      <c r="J293" s="244"/>
      <c r="K293" s="294"/>
      <c r="L293" s="238"/>
      <c r="M293" s="238"/>
      <c r="N293" s="288"/>
      <c r="O293" s="268"/>
      <c r="P293" s="82"/>
      <c r="Q293" s="13" t="s">
        <v>490</v>
      </c>
      <c r="R293" s="31">
        <v>1</v>
      </c>
      <c r="S293" s="29" t="b">
        <v>0</v>
      </c>
      <c r="T293" s="60"/>
      <c r="U293" s="60"/>
      <c r="V293" s="216"/>
      <c r="W293" s="284"/>
    </row>
    <row r="294" spans="2:23" ht="21" x14ac:dyDescent="0.45">
      <c r="B294" s="272"/>
      <c r="C294" s="51"/>
      <c r="D294" s="51"/>
      <c r="E294" s="242"/>
      <c r="F294" s="41"/>
      <c r="G294" s="292"/>
      <c r="H294" s="105"/>
      <c r="I294" s="126"/>
      <c r="J294" s="244"/>
      <c r="K294" s="294"/>
      <c r="L294" s="238"/>
      <c r="M294" s="238"/>
      <c r="N294" s="288"/>
      <c r="O294" s="268"/>
      <c r="P294" s="82"/>
      <c r="Q294" s="13" t="s">
        <v>491</v>
      </c>
      <c r="R294" s="31">
        <v>1</v>
      </c>
      <c r="S294" s="29" t="b">
        <v>0</v>
      </c>
      <c r="T294" s="60"/>
      <c r="U294" s="60"/>
      <c r="V294" s="216"/>
      <c r="W294" s="284"/>
    </row>
    <row r="295" spans="2:23" ht="21" x14ac:dyDescent="0.45">
      <c r="B295" s="272"/>
      <c r="C295" s="51"/>
      <c r="D295" s="51"/>
      <c r="E295" s="242"/>
      <c r="F295" s="41"/>
      <c r="G295" s="292"/>
      <c r="H295" s="105"/>
      <c r="I295" s="126"/>
      <c r="J295" s="244"/>
      <c r="K295" s="294"/>
      <c r="L295" s="238"/>
      <c r="M295" s="238"/>
      <c r="N295" s="288"/>
      <c r="O295" s="269"/>
      <c r="P295" s="83"/>
      <c r="Q295" s="13" t="s">
        <v>492</v>
      </c>
      <c r="R295" s="31">
        <v>1</v>
      </c>
      <c r="S295" s="29" t="b">
        <v>0</v>
      </c>
      <c r="T295" s="61"/>
      <c r="U295" s="61"/>
      <c r="V295" s="216"/>
      <c r="W295" s="285"/>
    </row>
    <row r="296" spans="2:23" ht="21" x14ac:dyDescent="0.45">
      <c r="B296" s="272"/>
      <c r="C296" s="51"/>
      <c r="D296" s="51"/>
      <c r="E296" s="242"/>
      <c r="F296" s="41"/>
      <c r="G296" s="292"/>
      <c r="H296" s="105"/>
      <c r="I296" s="126"/>
      <c r="J296" s="244"/>
      <c r="K296" s="294"/>
      <c r="L296" s="238"/>
      <c r="M296" s="238"/>
      <c r="N296" s="288" t="s">
        <v>497</v>
      </c>
      <c r="O296" s="267" t="s">
        <v>232</v>
      </c>
      <c r="P296" s="81">
        <f>K280*0.5</f>
        <v>1.546223958333331E-2</v>
      </c>
      <c r="Q296" s="13" t="s">
        <v>462</v>
      </c>
      <c r="R296" s="31">
        <v>3</v>
      </c>
      <c r="S296" s="29" t="b">
        <v>0</v>
      </c>
      <c r="T296" s="55" cm="1">
        <f t="array" ref="T296">SUMPRODUCT(R296:R299,--S296:S299)</f>
        <v>0</v>
      </c>
      <c r="U296" s="56"/>
      <c r="V296" s="212">
        <f>T296/R296*P296*100</f>
        <v>0</v>
      </c>
      <c r="W296" s="5"/>
    </row>
    <row r="297" spans="2:23" ht="21" x14ac:dyDescent="0.45">
      <c r="B297" s="272"/>
      <c r="C297" s="51"/>
      <c r="D297" s="51"/>
      <c r="E297" s="242"/>
      <c r="F297" s="41"/>
      <c r="G297" s="292"/>
      <c r="H297" s="105"/>
      <c r="I297" s="126"/>
      <c r="J297" s="244"/>
      <c r="K297" s="294"/>
      <c r="L297" s="238"/>
      <c r="M297" s="238"/>
      <c r="N297" s="288"/>
      <c r="O297" s="268"/>
      <c r="P297" s="82"/>
      <c r="Q297" s="13" t="s">
        <v>463</v>
      </c>
      <c r="R297" s="31">
        <v>2</v>
      </c>
      <c r="S297" s="29" t="b">
        <v>0</v>
      </c>
      <c r="T297" s="60"/>
      <c r="U297" s="60"/>
      <c r="V297" s="216"/>
      <c r="W297" s="5"/>
    </row>
    <row r="298" spans="2:23" ht="21" x14ac:dyDescent="0.45">
      <c r="B298" s="272"/>
      <c r="C298" s="51"/>
      <c r="D298" s="51"/>
      <c r="E298" s="242"/>
      <c r="F298" s="41"/>
      <c r="G298" s="292"/>
      <c r="H298" s="105"/>
      <c r="I298" s="126"/>
      <c r="J298" s="244"/>
      <c r="K298" s="294"/>
      <c r="L298" s="238"/>
      <c r="M298" s="238"/>
      <c r="N298" s="288"/>
      <c r="O298" s="268"/>
      <c r="P298" s="82"/>
      <c r="Q298" s="13" t="s">
        <v>464</v>
      </c>
      <c r="R298" s="31">
        <v>1</v>
      </c>
      <c r="S298" s="29" t="b">
        <v>0</v>
      </c>
      <c r="T298" s="60"/>
      <c r="U298" s="60"/>
      <c r="V298" s="216"/>
      <c r="W298" s="5"/>
    </row>
    <row r="299" spans="2:23" ht="21" x14ac:dyDescent="0.45">
      <c r="B299" s="272"/>
      <c r="C299" s="51"/>
      <c r="D299" s="51"/>
      <c r="E299" s="242"/>
      <c r="F299" s="41"/>
      <c r="G299" s="292"/>
      <c r="H299" s="105"/>
      <c r="I299" s="126"/>
      <c r="J299" s="244"/>
      <c r="K299" s="294"/>
      <c r="L299" s="238"/>
      <c r="M299" s="238"/>
      <c r="N299" s="288"/>
      <c r="O299" s="269"/>
      <c r="P299" s="83"/>
      <c r="Q299" s="13" t="s">
        <v>465</v>
      </c>
      <c r="R299" s="31">
        <v>0</v>
      </c>
      <c r="S299" s="29" t="b">
        <v>0</v>
      </c>
      <c r="T299" s="61"/>
      <c r="U299" s="61"/>
      <c r="V299" s="216"/>
      <c r="W299" s="5"/>
    </row>
    <row r="300" spans="2:23" ht="21" x14ac:dyDescent="0.45">
      <c r="B300" s="272"/>
      <c r="C300" s="51"/>
      <c r="D300" s="51"/>
      <c r="E300" s="242"/>
      <c r="F300" s="41"/>
      <c r="G300" s="292"/>
      <c r="H300" s="105"/>
      <c r="I300" s="126"/>
      <c r="J300" s="244"/>
      <c r="K300" s="294"/>
      <c r="L300" s="238"/>
      <c r="M300" s="238"/>
      <c r="N300" s="288"/>
      <c r="O300" s="267" t="s">
        <v>233</v>
      </c>
      <c r="P300" s="81">
        <f>K280*0.5</f>
        <v>1.546223958333331E-2</v>
      </c>
      <c r="Q300" s="13" t="s">
        <v>466</v>
      </c>
      <c r="R300" s="31">
        <v>3</v>
      </c>
      <c r="S300" s="29" t="b">
        <v>0</v>
      </c>
      <c r="T300" s="55" cm="1">
        <f t="array" ref="T300">SUMPRODUCT(R300:R303,--S300:S303)</f>
        <v>0</v>
      </c>
      <c r="U300" s="56"/>
      <c r="V300" s="212">
        <f>T300/R300*P300*100</f>
        <v>0</v>
      </c>
      <c r="W300" s="5"/>
    </row>
    <row r="301" spans="2:23" ht="21" x14ac:dyDescent="0.45">
      <c r="B301" s="272"/>
      <c r="C301" s="51"/>
      <c r="D301" s="51"/>
      <c r="E301" s="242"/>
      <c r="F301" s="41"/>
      <c r="G301" s="292"/>
      <c r="H301" s="105"/>
      <c r="I301" s="126"/>
      <c r="J301" s="244"/>
      <c r="K301" s="294"/>
      <c r="L301" s="238"/>
      <c r="M301" s="238"/>
      <c r="N301" s="288"/>
      <c r="O301" s="268"/>
      <c r="P301" s="82"/>
      <c r="Q301" s="13" t="s">
        <v>240</v>
      </c>
      <c r="R301" s="31">
        <v>2</v>
      </c>
      <c r="S301" s="29" t="b">
        <v>0</v>
      </c>
      <c r="T301" s="60"/>
      <c r="U301" s="60"/>
      <c r="V301" s="216"/>
      <c r="W301" s="5"/>
    </row>
    <row r="302" spans="2:23" ht="21" x14ac:dyDescent="0.45">
      <c r="B302" s="272"/>
      <c r="C302" s="51"/>
      <c r="D302" s="51"/>
      <c r="E302" s="242"/>
      <c r="F302" s="41"/>
      <c r="G302" s="292"/>
      <c r="H302" s="105"/>
      <c r="I302" s="126"/>
      <c r="J302" s="244"/>
      <c r="K302" s="294"/>
      <c r="L302" s="238"/>
      <c r="M302" s="238"/>
      <c r="N302" s="288"/>
      <c r="O302" s="268"/>
      <c r="P302" s="82"/>
      <c r="Q302" s="13" t="s">
        <v>467</v>
      </c>
      <c r="R302" s="31">
        <v>1</v>
      </c>
      <c r="S302" s="29" t="b">
        <v>0</v>
      </c>
      <c r="T302" s="60"/>
      <c r="U302" s="60"/>
      <c r="V302" s="216"/>
      <c r="W302" s="5"/>
    </row>
    <row r="303" spans="2:23" ht="21" x14ac:dyDescent="0.45">
      <c r="B303" s="272"/>
      <c r="C303" s="51"/>
      <c r="D303" s="51"/>
      <c r="E303" s="242"/>
      <c r="F303" s="41"/>
      <c r="G303" s="292"/>
      <c r="H303" s="105"/>
      <c r="I303" s="126"/>
      <c r="J303" s="244"/>
      <c r="K303" s="294"/>
      <c r="L303" s="238"/>
      <c r="M303" s="238"/>
      <c r="N303" s="288"/>
      <c r="O303" s="269"/>
      <c r="P303" s="83"/>
      <c r="Q303" s="13" t="s">
        <v>468</v>
      </c>
      <c r="R303" s="31">
        <v>0</v>
      </c>
      <c r="S303" s="29" t="b">
        <v>0</v>
      </c>
      <c r="T303" s="61"/>
      <c r="U303" s="61"/>
      <c r="V303" s="216"/>
      <c r="W303" s="5"/>
    </row>
    <row r="304" spans="2:23" ht="21" x14ac:dyDescent="0.45">
      <c r="B304" s="272"/>
      <c r="C304" s="51"/>
      <c r="D304" s="51"/>
      <c r="E304" s="242"/>
      <c r="F304" s="41"/>
      <c r="G304" s="292"/>
      <c r="H304" s="105"/>
      <c r="I304" s="126"/>
      <c r="J304" s="244"/>
      <c r="K304" s="294"/>
      <c r="L304" s="238"/>
      <c r="M304" s="238"/>
      <c r="N304" s="288" t="s">
        <v>498</v>
      </c>
      <c r="O304" s="267" t="s">
        <v>234</v>
      </c>
      <c r="P304" s="81">
        <f>K280*0.5</f>
        <v>1.546223958333331E-2</v>
      </c>
      <c r="Q304" s="13" t="s">
        <v>469</v>
      </c>
      <c r="R304" s="31">
        <v>3</v>
      </c>
      <c r="S304" s="29" t="b">
        <v>0</v>
      </c>
      <c r="T304" s="55" cm="1">
        <f t="array" ref="T304">SUMPRODUCT(R304:R307,--S304:S307)</f>
        <v>0</v>
      </c>
      <c r="U304" s="56"/>
      <c r="V304" s="212">
        <f>T304/R304*P304*100</f>
        <v>0</v>
      </c>
      <c r="W304" s="5"/>
    </row>
    <row r="305" spans="2:23" ht="21" x14ac:dyDescent="0.45">
      <c r="B305" s="272"/>
      <c r="C305" s="51"/>
      <c r="D305" s="51"/>
      <c r="E305" s="242"/>
      <c r="F305" s="41"/>
      <c r="G305" s="292"/>
      <c r="H305" s="105"/>
      <c r="I305" s="126"/>
      <c r="J305" s="244"/>
      <c r="K305" s="294"/>
      <c r="L305" s="238"/>
      <c r="M305" s="238"/>
      <c r="N305" s="288"/>
      <c r="O305" s="268"/>
      <c r="P305" s="82"/>
      <c r="Q305" s="13" t="s">
        <v>470</v>
      </c>
      <c r="R305" s="31">
        <v>2</v>
      </c>
      <c r="S305" s="29" t="b">
        <v>0</v>
      </c>
      <c r="T305" s="60"/>
      <c r="U305" s="60"/>
      <c r="V305" s="216"/>
      <c r="W305" s="5"/>
    </row>
    <row r="306" spans="2:23" ht="21" x14ac:dyDescent="0.45">
      <c r="B306" s="272"/>
      <c r="C306" s="51"/>
      <c r="D306" s="51"/>
      <c r="E306" s="242"/>
      <c r="F306" s="41"/>
      <c r="G306" s="292"/>
      <c r="H306" s="105"/>
      <c r="I306" s="126"/>
      <c r="J306" s="244"/>
      <c r="K306" s="294"/>
      <c r="L306" s="238"/>
      <c r="M306" s="238"/>
      <c r="N306" s="288"/>
      <c r="O306" s="268"/>
      <c r="P306" s="82"/>
      <c r="Q306" s="13" t="s">
        <v>471</v>
      </c>
      <c r="R306" s="31">
        <v>1</v>
      </c>
      <c r="S306" s="29" t="b">
        <v>0</v>
      </c>
      <c r="T306" s="60"/>
      <c r="U306" s="60"/>
      <c r="V306" s="216"/>
      <c r="W306" s="5"/>
    </row>
    <row r="307" spans="2:23" ht="21" x14ac:dyDescent="0.45">
      <c r="B307" s="272"/>
      <c r="C307" s="51"/>
      <c r="D307" s="51"/>
      <c r="E307" s="242"/>
      <c r="F307" s="41"/>
      <c r="G307" s="292"/>
      <c r="H307" s="105"/>
      <c r="I307" s="126"/>
      <c r="J307" s="244"/>
      <c r="K307" s="294"/>
      <c r="L307" s="238"/>
      <c r="M307" s="238"/>
      <c r="N307" s="288"/>
      <c r="O307" s="269"/>
      <c r="P307" s="83"/>
      <c r="Q307" s="13" t="s">
        <v>472</v>
      </c>
      <c r="R307" s="31">
        <v>0</v>
      </c>
      <c r="S307" s="29" t="b">
        <v>0</v>
      </c>
      <c r="T307" s="61"/>
      <c r="U307" s="61"/>
      <c r="V307" s="216"/>
      <c r="W307" s="5"/>
    </row>
    <row r="308" spans="2:23" ht="21" x14ac:dyDescent="0.45">
      <c r="B308" s="272"/>
      <c r="C308" s="51"/>
      <c r="D308" s="51"/>
      <c r="E308" s="242"/>
      <c r="F308" s="41"/>
      <c r="G308" s="292"/>
      <c r="H308" s="105"/>
      <c r="I308" s="126"/>
      <c r="J308" s="244"/>
      <c r="K308" s="294"/>
      <c r="L308" s="238"/>
      <c r="M308" s="238"/>
      <c r="N308" s="288"/>
      <c r="O308" s="267" t="s">
        <v>235</v>
      </c>
      <c r="P308" s="81">
        <f>K280*0.5</f>
        <v>1.546223958333331E-2</v>
      </c>
      <c r="Q308" s="13" t="s">
        <v>473</v>
      </c>
      <c r="R308" s="31">
        <v>3</v>
      </c>
      <c r="S308" s="29" t="b">
        <v>0</v>
      </c>
      <c r="T308" s="55" cm="1">
        <f t="array" ref="T308">SUMPRODUCT(R308:R311,--S308:S311)</f>
        <v>0</v>
      </c>
      <c r="U308" s="56"/>
      <c r="V308" s="212">
        <f>T308/R308*P308*100</f>
        <v>0</v>
      </c>
      <c r="W308" s="5"/>
    </row>
    <row r="309" spans="2:23" ht="21" x14ac:dyDescent="0.45">
      <c r="B309" s="272"/>
      <c r="C309" s="51"/>
      <c r="D309" s="51"/>
      <c r="E309" s="242"/>
      <c r="F309" s="41"/>
      <c r="G309" s="292"/>
      <c r="H309" s="105"/>
      <c r="I309" s="126"/>
      <c r="J309" s="244"/>
      <c r="K309" s="294"/>
      <c r="L309" s="238"/>
      <c r="M309" s="238"/>
      <c r="N309" s="288"/>
      <c r="O309" s="268"/>
      <c r="P309" s="82"/>
      <c r="Q309" s="13" t="s">
        <v>474</v>
      </c>
      <c r="R309" s="31">
        <v>2</v>
      </c>
      <c r="S309" s="29" t="b">
        <v>0</v>
      </c>
      <c r="T309" s="60"/>
      <c r="U309" s="60"/>
      <c r="V309" s="216"/>
      <c r="W309" s="5"/>
    </row>
    <row r="310" spans="2:23" ht="21" x14ac:dyDescent="0.45">
      <c r="B310" s="272"/>
      <c r="C310" s="51"/>
      <c r="D310" s="51"/>
      <c r="E310" s="242"/>
      <c r="F310" s="41"/>
      <c r="G310" s="292"/>
      <c r="H310" s="105"/>
      <c r="I310" s="126"/>
      <c r="J310" s="244"/>
      <c r="K310" s="294"/>
      <c r="L310" s="238"/>
      <c r="M310" s="238"/>
      <c r="N310" s="288"/>
      <c r="O310" s="268"/>
      <c r="P310" s="82"/>
      <c r="Q310" s="13" t="s">
        <v>475</v>
      </c>
      <c r="R310" s="31">
        <v>1</v>
      </c>
      <c r="S310" s="29" t="b">
        <v>0</v>
      </c>
      <c r="T310" s="60"/>
      <c r="U310" s="60"/>
      <c r="V310" s="216"/>
      <c r="W310" s="5"/>
    </row>
    <row r="311" spans="2:23" ht="21" x14ac:dyDescent="0.45">
      <c r="B311" s="272"/>
      <c r="C311" s="51"/>
      <c r="D311" s="51"/>
      <c r="E311" s="242"/>
      <c r="F311" s="41"/>
      <c r="G311" s="292"/>
      <c r="H311" s="105"/>
      <c r="I311" s="126"/>
      <c r="J311" s="244"/>
      <c r="K311" s="294"/>
      <c r="L311" s="238"/>
      <c r="M311" s="238"/>
      <c r="N311" s="288"/>
      <c r="O311" s="269"/>
      <c r="P311" s="83"/>
      <c r="Q311" s="13" t="s">
        <v>476</v>
      </c>
      <c r="R311" s="31">
        <v>0</v>
      </c>
      <c r="S311" s="29" t="b">
        <v>0</v>
      </c>
      <c r="T311" s="61"/>
      <c r="U311" s="61"/>
      <c r="V311" s="216"/>
      <c r="W311" s="5"/>
    </row>
    <row r="312" spans="2:23" ht="21" x14ac:dyDescent="0.45">
      <c r="B312" s="272"/>
      <c r="C312" s="51"/>
      <c r="D312" s="51"/>
      <c r="E312" s="242"/>
      <c r="F312" s="41"/>
      <c r="G312" s="292"/>
      <c r="H312" s="105"/>
      <c r="I312" s="126"/>
      <c r="J312" s="244"/>
      <c r="K312" s="294"/>
      <c r="L312" s="238"/>
      <c r="M312" s="238"/>
      <c r="N312" s="288" t="s">
        <v>499</v>
      </c>
      <c r="O312" s="267" t="s">
        <v>230</v>
      </c>
      <c r="P312" s="81">
        <f>K280*0.5</f>
        <v>1.546223958333331E-2</v>
      </c>
      <c r="Q312" s="13" t="s">
        <v>477</v>
      </c>
      <c r="R312" s="31">
        <v>4</v>
      </c>
      <c r="S312" s="29" t="b">
        <v>0</v>
      </c>
      <c r="T312" s="55" cm="1">
        <f t="array" ref="T312">SUMPRODUCT(R312:R316,--S312:S316)</f>
        <v>0</v>
      </c>
      <c r="U312" s="56"/>
      <c r="V312" s="212">
        <f>T312/R312*P312*100</f>
        <v>0</v>
      </c>
      <c r="W312" s="5"/>
    </row>
    <row r="313" spans="2:23" ht="21" x14ac:dyDescent="0.45">
      <c r="B313" s="272"/>
      <c r="C313" s="51"/>
      <c r="D313" s="51"/>
      <c r="E313" s="242"/>
      <c r="F313" s="41"/>
      <c r="G313" s="292"/>
      <c r="H313" s="105"/>
      <c r="I313" s="126"/>
      <c r="J313" s="244"/>
      <c r="K313" s="294"/>
      <c r="L313" s="238"/>
      <c r="M313" s="238"/>
      <c r="N313" s="288"/>
      <c r="O313" s="268"/>
      <c r="P313" s="82"/>
      <c r="Q313" s="13" t="s">
        <v>478</v>
      </c>
      <c r="R313" s="31">
        <v>3</v>
      </c>
      <c r="S313" s="29" t="b">
        <v>0</v>
      </c>
      <c r="T313" s="60"/>
      <c r="U313" s="60"/>
      <c r="V313" s="216"/>
      <c r="W313" s="5"/>
    </row>
    <row r="314" spans="2:23" ht="21" x14ac:dyDescent="0.45">
      <c r="B314" s="272"/>
      <c r="C314" s="51"/>
      <c r="D314" s="51"/>
      <c r="E314" s="242"/>
      <c r="F314" s="41"/>
      <c r="G314" s="292"/>
      <c r="H314" s="105"/>
      <c r="I314" s="126"/>
      <c r="J314" s="244"/>
      <c r="K314" s="294"/>
      <c r="L314" s="238"/>
      <c r="M314" s="238"/>
      <c r="N314" s="288"/>
      <c r="O314" s="268"/>
      <c r="P314" s="82"/>
      <c r="Q314" s="13" t="s">
        <v>479</v>
      </c>
      <c r="R314" s="31">
        <v>2</v>
      </c>
      <c r="S314" s="29" t="b">
        <v>0</v>
      </c>
      <c r="T314" s="60"/>
      <c r="U314" s="60"/>
      <c r="V314" s="216"/>
      <c r="W314" s="5"/>
    </row>
    <row r="315" spans="2:23" ht="21" x14ac:dyDescent="0.45">
      <c r="B315" s="272"/>
      <c r="C315" s="51"/>
      <c r="D315" s="51"/>
      <c r="E315" s="242"/>
      <c r="F315" s="41"/>
      <c r="G315" s="292"/>
      <c r="H315" s="105"/>
      <c r="I315" s="126"/>
      <c r="J315" s="244"/>
      <c r="K315" s="294"/>
      <c r="L315" s="238"/>
      <c r="M315" s="238"/>
      <c r="N315" s="288"/>
      <c r="O315" s="268"/>
      <c r="P315" s="82"/>
      <c r="Q315" s="13" t="s">
        <v>480</v>
      </c>
      <c r="R315" s="31">
        <v>1</v>
      </c>
      <c r="S315" s="29" t="b">
        <v>0</v>
      </c>
      <c r="T315" s="60"/>
      <c r="U315" s="60"/>
      <c r="V315" s="216"/>
      <c r="W315" s="5"/>
    </row>
    <row r="316" spans="2:23" ht="21" x14ac:dyDescent="0.45">
      <c r="B316" s="272"/>
      <c r="C316" s="51"/>
      <c r="D316" s="51"/>
      <c r="E316" s="242"/>
      <c r="F316" s="41"/>
      <c r="G316" s="292"/>
      <c r="H316" s="105"/>
      <c r="I316" s="126"/>
      <c r="J316" s="244"/>
      <c r="K316" s="294"/>
      <c r="L316" s="238"/>
      <c r="M316" s="238"/>
      <c r="N316" s="288"/>
      <c r="O316" s="269"/>
      <c r="P316" s="83"/>
      <c r="Q316" s="13" t="s">
        <v>481</v>
      </c>
      <c r="R316" s="31">
        <v>0</v>
      </c>
      <c r="S316" s="29" t="b">
        <v>0</v>
      </c>
      <c r="T316" s="61"/>
      <c r="U316" s="61"/>
      <c r="V316" s="216"/>
      <c r="W316" s="5"/>
    </row>
    <row r="317" spans="2:23" ht="21" x14ac:dyDescent="0.45">
      <c r="B317" s="272"/>
      <c r="C317" s="51"/>
      <c r="D317" s="51"/>
      <c r="E317" s="242"/>
      <c r="F317" s="41"/>
      <c r="G317" s="292"/>
      <c r="H317" s="105"/>
      <c r="I317" s="126"/>
      <c r="J317" s="244"/>
      <c r="K317" s="294"/>
      <c r="L317" s="238"/>
      <c r="M317" s="238"/>
      <c r="N317" s="288"/>
      <c r="O317" s="267" t="s">
        <v>231</v>
      </c>
      <c r="P317" s="81">
        <f>K280*0.5</f>
        <v>1.546223958333331E-2</v>
      </c>
      <c r="Q317" s="13" t="s">
        <v>484</v>
      </c>
      <c r="R317" s="31">
        <v>4</v>
      </c>
      <c r="S317" s="29" t="b">
        <v>0</v>
      </c>
      <c r="T317" s="55" cm="1">
        <f t="array" ref="T317">SUMPRODUCT(R317:R321,--S317:S321)</f>
        <v>0</v>
      </c>
      <c r="U317" s="56"/>
      <c r="V317" s="212">
        <f>T317/R317*P317*100</f>
        <v>0</v>
      </c>
      <c r="W317" s="5"/>
    </row>
    <row r="318" spans="2:23" ht="21" x14ac:dyDescent="0.45">
      <c r="B318" s="272"/>
      <c r="C318" s="51"/>
      <c r="D318" s="51"/>
      <c r="E318" s="242"/>
      <c r="F318" s="41"/>
      <c r="G318" s="292"/>
      <c r="H318" s="105"/>
      <c r="I318" s="126"/>
      <c r="J318" s="244"/>
      <c r="K318" s="294"/>
      <c r="L318" s="238"/>
      <c r="M318" s="238"/>
      <c r="N318" s="288"/>
      <c r="O318" s="268"/>
      <c r="P318" s="77"/>
      <c r="Q318" s="13" t="s">
        <v>483</v>
      </c>
      <c r="R318" s="31">
        <v>3</v>
      </c>
      <c r="S318" s="29" t="b">
        <v>0</v>
      </c>
      <c r="T318" s="60"/>
      <c r="U318" s="60"/>
      <c r="V318" s="216"/>
      <c r="W318" s="5"/>
    </row>
    <row r="319" spans="2:23" ht="21" x14ac:dyDescent="0.45">
      <c r="B319" s="272"/>
      <c r="C319" s="51"/>
      <c r="D319" s="51"/>
      <c r="E319" s="242"/>
      <c r="F319" s="41"/>
      <c r="G319" s="292"/>
      <c r="H319" s="105"/>
      <c r="I319" s="126"/>
      <c r="J319" s="244"/>
      <c r="K319" s="294"/>
      <c r="L319" s="238"/>
      <c r="M319" s="238"/>
      <c r="N319" s="288"/>
      <c r="O319" s="268"/>
      <c r="P319" s="77"/>
      <c r="Q319" s="13" t="s">
        <v>482</v>
      </c>
      <c r="R319" s="31">
        <v>2</v>
      </c>
      <c r="S319" s="29" t="b">
        <v>0</v>
      </c>
      <c r="T319" s="60"/>
      <c r="U319" s="60"/>
      <c r="V319" s="216"/>
      <c r="W319" s="5"/>
    </row>
    <row r="320" spans="2:23" ht="21" x14ac:dyDescent="0.45">
      <c r="B320" s="272"/>
      <c r="C320" s="51"/>
      <c r="D320" s="51"/>
      <c r="E320" s="242"/>
      <c r="F320" s="41"/>
      <c r="G320" s="292"/>
      <c r="H320" s="105"/>
      <c r="I320" s="126"/>
      <c r="J320" s="244"/>
      <c r="K320" s="294"/>
      <c r="L320" s="238"/>
      <c r="M320" s="238"/>
      <c r="N320" s="288"/>
      <c r="O320" s="268"/>
      <c r="P320" s="77"/>
      <c r="Q320" s="13" t="s">
        <v>485</v>
      </c>
      <c r="R320" s="31">
        <v>1</v>
      </c>
      <c r="S320" s="29" t="b">
        <v>0</v>
      </c>
      <c r="T320" s="60"/>
      <c r="U320" s="60"/>
      <c r="V320" s="216"/>
      <c r="W320" s="5"/>
    </row>
    <row r="321" spans="2:23" ht="21" x14ac:dyDescent="0.45">
      <c r="B321" s="272"/>
      <c r="C321" s="51"/>
      <c r="D321" s="51"/>
      <c r="E321" s="243"/>
      <c r="F321" s="42"/>
      <c r="G321" s="293"/>
      <c r="H321" s="106"/>
      <c r="I321" s="127"/>
      <c r="J321" s="245"/>
      <c r="K321" s="295"/>
      <c r="L321" s="239"/>
      <c r="M321" s="239"/>
      <c r="N321" s="288"/>
      <c r="O321" s="269"/>
      <c r="P321" s="78"/>
      <c r="Q321" s="13" t="s">
        <v>486</v>
      </c>
      <c r="R321" s="31">
        <v>0</v>
      </c>
      <c r="S321" s="29" t="b">
        <v>0</v>
      </c>
      <c r="T321" s="61"/>
      <c r="U321" s="61"/>
      <c r="V321" s="216"/>
      <c r="W321" s="5"/>
    </row>
    <row r="322" spans="2:23" ht="21" x14ac:dyDescent="0.4">
      <c r="B322" s="272"/>
      <c r="C322" s="51"/>
      <c r="D322" s="51"/>
      <c r="E322" s="249" t="s">
        <v>244</v>
      </c>
      <c r="F322" s="93">
        <f>D92*0.260416666666667</f>
        <v>0.15625000000000019</v>
      </c>
      <c r="G322" s="282" t="s">
        <v>37</v>
      </c>
      <c r="H322" s="107"/>
      <c r="I322" s="123"/>
      <c r="J322" s="248" t="s">
        <v>38</v>
      </c>
      <c r="K322" s="41">
        <f>F322*0.270833333333333</f>
        <v>4.2317708333333329E-2</v>
      </c>
      <c r="L322" s="41"/>
      <c r="M322" s="41"/>
      <c r="N322" s="63"/>
      <c r="O322" s="267" t="s">
        <v>241</v>
      </c>
      <c r="P322" s="81">
        <f>K322*0.5</f>
        <v>2.1158854166666664E-2</v>
      </c>
      <c r="Q322" s="13" t="s">
        <v>375</v>
      </c>
      <c r="R322" s="31">
        <v>2</v>
      </c>
      <c r="S322" s="29" t="b">
        <v>0</v>
      </c>
      <c r="T322" s="55" cm="1">
        <f t="array" ref="T322">SUMPRODUCT(R322:R324,--S322:S324)</f>
        <v>0</v>
      </c>
      <c r="U322" s="56"/>
      <c r="V322" s="212">
        <f>T322/R322*P322*100</f>
        <v>0</v>
      </c>
      <c r="W322" s="5"/>
    </row>
    <row r="323" spans="2:23" ht="21" x14ac:dyDescent="0.4">
      <c r="B323" s="272"/>
      <c r="C323" s="51"/>
      <c r="D323" s="51"/>
      <c r="E323" s="242"/>
      <c r="F323" s="41"/>
      <c r="G323" s="275"/>
      <c r="H323" s="108"/>
      <c r="I323" s="124"/>
      <c r="J323" s="244"/>
      <c r="K323" s="47"/>
      <c r="L323" s="47"/>
      <c r="M323" s="47"/>
      <c r="N323" s="64"/>
      <c r="O323" s="268"/>
      <c r="P323" s="82"/>
      <c r="Q323" s="13" t="s">
        <v>401</v>
      </c>
      <c r="R323" s="31">
        <v>1</v>
      </c>
      <c r="S323" s="29" t="b">
        <v>0</v>
      </c>
      <c r="T323" s="60"/>
      <c r="U323" s="60"/>
      <c r="V323" s="216"/>
      <c r="W323" s="5"/>
    </row>
    <row r="324" spans="2:23" ht="21" x14ac:dyDescent="0.4">
      <c r="B324" s="272"/>
      <c r="C324" s="51"/>
      <c r="D324" s="51"/>
      <c r="E324" s="242"/>
      <c r="F324" s="41"/>
      <c r="G324" s="275"/>
      <c r="H324" s="108"/>
      <c r="I324" s="124"/>
      <c r="J324" s="244"/>
      <c r="K324" s="47"/>
      <c r="L324" s="47"/>
      <c r="M324" s="47"/>
      <c r="N324" s="64"/>
      <c r="O324" s="269"/>
      <c r="P324" s="83"/>
      <c r="Q324" s="13" t="s">
        <v>400</v>
      </c>
      <c r="R324" s="31">
        <v>0</v>
      </c>
      <c r="S324" s="29" t="b">
        <v>0</v>
      </c>
      <c r="T324" s="61"/>
      <c r="U324" s="61"/>
      <c r="V324" s="216"/>
      <c r="W324" s="5"/>
    </row>
    <row r="325" spans="2:23" ht="21" x14ac:dyDescent="0.4">
      <c r="B325" s="272"/>
      <c r="C325" s="51"/>
      <c r="D325" s="51"/>
      <c r="E325" s="242"/>
      <c r="F325" s="41"/>
      <c r="G325" s="275"/>
      <c r="H325" s="108"/>
      <c r="I325" s="124"/>
      <c r="J325" s="244"/>
      <c r="K325" s="47"/>
      <c r="L325" s="47"/>
      <c r="M325" s="47"/>
      <c r="N325" s="64"/>
      <c r="O325" s="267" t="s">
        <v>242</v>
      </c>
      <c r="P325" s="81">
        <f>K322*0.25</f>
        <v>1.0579427083333332E-2</v>
      </c>
      <c r="Q325" s="13" t="s">
        <v>369</v>
      </c>
      <c r="R325" s="31">
        <v>1</v>
      </c>
      <c r="S325" s="29" t="b">
        <v>0</v>
      </c>
      <c r="T325" s="55" cm="1">
        <f t="array" ref="T325">SUMPRODUCT(R325:R327,--S325:S327)</f>
        <v>0</v>
      </c>
      <c r="U325" s="56" cm="1">
        <f t="array" ref="U325">IF(
3=0,
  "",
  _xlfn.IFS(
    T325/3&gt;=0.8, 5,
    T325/3&gt;=0.6, 4,
    T325/3&gt;=0.4, 3,
    T325/3&gt;=0.2, 2,
    T325/3&gt;=0.1, 1,
    TRUE, 0
  )
)</f>
        <v>0</v>
      </c>
      <c r="V325" s="212">
        <f>U325/5*P325*100</f>
        <v>0</v>
      </c>
      <c r="W325" s="283" t="s">
        <v>150</v>
      </c>
    </row>
    <row r="326" spans="2:23" ht="21" x14ac:dyDescent="0.4">
      <c r="B326" s="272"/>
      <c r="C326" s="51"/>
      <c r="D326" s="51"/>
      <c r="E326" s="242"/>
      <c r="F326" s="41"/>
      <c r="G326" s="275"/>
      <c r="H326" s="108"/>
      <c r="I326" s="124"/>
      <c r="J326" s="244"/>
      <c r="K326" s="47"/>
      <c r="L326" s="47"/>
      <c r="M326" s="47"/>
      <c r="N326" s="64"/>
      <c r="O326" s="268"/>
      <c r="P326" s="82"/>
      <c r="Q326" s="13" t="s">
        <v>370</v>
      </c>
      <c r="R326" s="31">
        <v>1</v>
      </c>
      <c r="S326" s="29" t="b">
        <v>0</v>
      </c>
      <c r="T326" s="60"/>
      <c r="U326" s="60"/>
      <c r="V326" s="216"/>
      <c r="W326" s="284"/>
    </row>
    <row r="327" spans="2:23" ht="21" x14ac:dyDescent="0.4">
      <c r="B327" s="272"/>
      <c r="C327" s="51"/>
      <c r="D327" s="51"/>
      <c r="E327" s="242"/>
      <c r="F327" s="41"/>
      <c r="G327" s="275"/>
      <c r="H327" s="108"/>
      <c r="I327" s="124"/>
      <c r="J327" s="244"/>
      <c r="K327" s="47"/>
      <c r="L327" s="47"/>
      <c r="M327" s="47"/>
      <c r="N327" s="64"/>
      <c r="O327" s="269"/>
      <c r="P327" s="83"/>
      <c r="Q327" s="13" t="s">
        <v>371</v>
      </c>
      <c r="R327" s="31">
        <v>1</v>
      </c>
      <c r="S327" s="29" t="b">
        <v>0</v>
      </c>
      <c r="T327" s="61"/>
      <c r="U327" s="61"/>
      <c r="V327" s="216"/>
      <c r="W327" s="285"/>
    </row>
    <row r="328" spans="2:23" ht="21" x14ac:dyDescent="0.4">
      <c r="B328" s="272"/>
      <c r="C328" s="51"/>
      <c r="D328" s="51"/>
      <c r="E328" s="242"/>
      <c r="F328" s="41"/>
      <c r="G328" s="275"/>
      <c r="H328" s="108"/>
      <c r="I328" s="124"/>
      <c r="J328" s="244"/>
      <c r="K328" s="47"/>
      <c r="L328" s="47"/>
      <c r="M328" s="47"/>
      <c r="N328" s="64"/>
      <c r="O328" s="267" t="s">
        <v>243</v>
      </c>
      <c r="P328" s="81">
        <f>K322*0.25</f>
        <v>1.0579427083333332E-2</v>
      </c>
      <c r="Q328" s="13" t="s">
        <v>372</v>
      </c>
      <c r="R328" s="31">
        <v>1</v>
      </c>
      <c r="S328" s="29" t="b">
        <v>0</v>
      </c>
      <c r="T328" s="55" cm="1">
        <f t="array" ref="T328">SUMPRODUCT(R328:R330,--S328:S330)</f>
        <v>0</v>
      </c>
      <c r="U328" s="56" cm="1">
        <f t="array" ref="U328">IF(
3=0,
  "",
  _xlfn.IFS(
    T328/3&gt;=0.8, 5,
    T328/3&gt;=0.6, 4,
    T328/3&gt;=0.4, 3,
    T328/3&gt;=0.2, 2,
    T328/3&gt;=0.1, 1,
    TRUE, 0
  )
)</f>
        <v>0</v>
      </c>
      <c r="V328" s="212">
        <f>U328/5*P328*100</f>
        <v>0</v>
      </c>
      <c r="W328" s="283" t="s">
        <v>150</v>
      </c>
    </row>
    <row r="329" spans="2:23" ht="21" x14ac:dyDescent="0.4">
      <c r="B329" s="272"/>
      <c r="C329" s="51"/>
      <c r="D329" s="51"/>
      <c r="E329" s="242"/>
      <c r="F329" s="41"/>
      <c r="G329" s="275"/>
      <c r="H329" s="108"/>
      <c r="I329" s="124"/>
      <c r="J329" s="244"/>
      <c r="K329" s="47"/>
      <c r="L329" s="47"/>
      <c r="M329" s="47"/>
      <c r="N329" s="64"/>
      <c r="O329" s="268"/>
      <c r="P329" s="77"/>
      <c r="Q329" s="13" t="s">
        <v>373</v>
      </c>
      <c r="R329" s="31">
        <v>1</v>
      </c>
      <c r="S329" s="29" t="b">
        <v>0</v>
      </c>
      <c r="T329" s="60"/>
      <c r="U329" s="60"/>
      <c r="V329" s="216"/>
      <c r="W329" s="284"/>
    </row>
    <row r="330" spans="2:23" ht="21" x14ac:dyDescent="0.4">
      <c r="B330" s="272"/>
      <c r="C330" s="51"/>
      <c r="D330" s="51"/>
      <c r="E330" s="242"/>
      <c r="F330" s="41"/>
      <c r="G330" s="276"/>
      <c r="H330" s="109"/>
      <c r="I330" s="125"/>
      <c r="J330" s="245"/>
      <c r="K330" s="46"/>
      <c r="L330" s="46"/>
      <c r="M330" s="46"/>
      <c r="N330" s="65"/>
      <c r="O330" s="269"/>
      <c r="P330" s="78"/>
      <c r="Q330" s="13" t="s">
        <v>374</v>
      </c>
      <c r="R330" s="31">
        <v>1</v>
      </c>
      <c r="S330" s="29" t="b">
        <v>0</v>
      </c>
      <c r="T330" s="61"/>
      <c r="U330" s="61"/>
      <c r="V330" s="216"/>
      <c r="W330" s="285"/>
    </row>
    <row r="331" spans="2:23" ht="21" x14ac:dyDescent="0.4">
      <c r="B331" s="272"/>
      <c r="C331" s="51"/>
      <c r="D331" s="51"/>
      <c r="E331" s="242"/>
      <c r="F331" s="41"/>
      <c r="G331" s="282" t="s">
        <v>39</v>
      </c>
      <c r="H331" s="107"/>
      <c r="I331" s="123"/>
      <c r="J331" s="248" t="s">
        <v>40</v>
      </c>
      <c r="K331" s="41">
        <f>F322*0.395833333333333</f>
        <v>6.1848958333333356E-2</v>
      </c>
      <c r="L331" s="41"/>
      <c r="M331" s="41"/>
      <c r="N331" s="63"/>
      <c r="O331" s="7"/>
      <c r="P331" s="79"/>
      <c r="Q331" s="13" t="s">
        <v>376</v>
      </c>
      <c r="R331" s="31">
        <v>1</v>
      </c>
      <c r="S331" s="29" t="b">
        <v>0</v>
      </c>
      <c r="T331" s="55" cm="1">
        <f t="array" ref="T331">SUMPRODUCT(R331:R338,--S331:S338)</f>
        <v>0</v>
      </c>
      <c r="U331" s="56" cm="1">
        <f t="array" ref="U331">IF(
8=0,
  "",
  _xlfn.IFS(
    T331/8&gt;=0.8, 5,
    T331/8&gt;=0.6, 4,
    T331/8&gt;=0.4, 3,
    T331/8&gt;=0.2, 2,
    T331/8&gt;=0.1, 1,
    TRUE, 0
  )
)</f>
        <v>0</v>
      </c>
      <c r="V331" s="212">
        <f>U331/5*K331*100</f>
        <v>0</v>
      </c>
      <c r="W331" s="283" t="s">
        <v>150</v>
      </c>
    </row>
    <row r="332" spans="2:23" ht="21" x14ac:dyDescent="0.4">
      <c r="B332" s="272"/>
      <c r="C332" s="51"/>
      <c r="D332" s="51"/>
      <c r="E332" s="242"/>
      <c r="F332" s="41"/>
      <c r="G332" s="275"/>
      <c r="H332" s="108"/>
      <c r="I332" s="124"/>
      <c r="J332" s="244"/>
      <c r="K332" s="47"/>
      <c r="L332" s="47"/>
      <c r="M332" s="47"/>
      <c r="N332" s="64"/>
      <c r="O332" s="7"/>
      <c r="P332" s="79"/>
      <c r="Q332" s="13" t="s">
        <v>377</v>
      </c>
      <c r="R332" s="31">
        <v>1</v>
      </c>
      <c r="S332" s="29" t="b">
        <v>0</v>
      </c>
      <c r="T332" s="60"/>
      <c r="U332" s="60"/>
      <c r="V332" s="216"/>
      <c r="W332" s="284"/>
    </row>
    <row r="333" spans="2:23" ht="21" x14ac:dyDescent="0.4">
      <c r="B333" s="272"/>
      <c r="C333" s="51"/>
      <c r="D333" s="51"/>
      <c r="E333" s="242"/>
      <c r="F333" s="41"/>
      <c r="G333" s="275"/>
      <c r="H333" s="108"/>
      <c r="I333" s="124"/>
      <c r="J333" s="244"/>
      <c r="K333" s="47"/>
      <c r="L333" s="47"/>
      <c r="M333" s="47"/>
      <c r="N333" s="64"/>
      <c r="O333" s="7"/>
      <c r="P333" s="79"/>
      <c r="Q333" s="13" t="s">
        <v>378</v>
      </c>
      <c r="R333" s="31">
        <v>1</v>
      </c>
      <c r="S333" s="29" t="b">
        <v>0</v>
      </c>
      <c r="T333" s="60"/>
      <c r="U333" s="60"/>
      <c r="V333" s="216"/>
      <c r="W333" s="284"/>
    </row>
    <row r="334" spans="2:23" ht="21" x14ac:dyDescent="0.4">
      <c r="B334" s="272"/>
      <c r="C334" s="51"/>
      <c r="D334" s="51"/>
      <c r="E334" s="242"/>
      <c r="F334" s="41"/>
      <c r="G334" s="275"/>
      <c r="H334" s="108"/>
      <c r="I334" s="124"/>
      <c r="J334" s="244"/>
      <c r="K334" s="47"/>
      <c r="L334" s="47"/>
      <c r="M334" s="47"/>
      <c r="N334" s="64"/>
      <c r="O334" s="7"/>
      <c r="P334" s="79"/>
      <c r="Q334" s="13" t="s">
        <v>379</v>
      </c>
      <c r="R334" s="31">
        <v>1</v>
      </c>
      <c r="S334" s="29" t="b">
        <v>0</v>
      </c>
      <c r="T334" s="60"/>
      <c r="U334" s="60"/>
      <c r="V334" s="216"/>
      <c r="W334" s="284"/>
    </row>
    <row r="335" spans="2:23" ht="21" x14ac:dyDescent="0.4">
      <c r="B335" s="272"/>
      <c r="C335" s="51"/>
      <c r="D335" s="51"/>
      <c r="E335" s="242"/>
      <c r="F335" s="41"/>
      <c r="G335" s="275"/>
      <c r="H335" s="108"/>
      <c r="I335" s="124"/>
      <c r="J335" s="244"/>
      <c r="K335" s="47"/>
      <c r="L335" s="47"/>
      <c r="M335" s="47"/>
      <c r="N335" s="64"/>
      <c r="O335" s="7"/>
      <c r="P335" s="79"/>
      <c r="Q335" s="13" t="s">
        <v>380</v>
      </c>
      <c r="R335" s="31">
        <v>1</v>
      </c>
      <c r="S335" s="29" t="b">
        <v>0</v>
      </c>
      <c r="T335" s="60"/>
      <c r="U335" s="60"/>
      <c r="V335" s="216"/>
      <c r="W335" s="284"/>
    </row>
    <row r="336" spans="2:23" ht="21" x14ac:dyDescent="0.4">
      <c r="B336" s="272"/>
      <c r="C336" s="51"/>
      <c r="D336" s="51"/>
      <c r="E336" s="242"/>
      <c r="F336" s="41"/>
      <c r="G336" s="275"/>
      <c r="H336" s="108"/>
      <c r="I336" s="124"/>
      <c r="J336" s="244"/>
      <c r="K336" s="47"/>
      <c r="L336" s="47"/>
      <c r="M336" s="47"/>
      <c r="N336" s="64"/>
      <c r="O336" s="7"/>
      <c r="P336" s="79"/>
      <c r="Q336" s="13" t="s">
        <v>381</v>
      </c>
      <c r="R336" s="31">
        <v>1</v>
      </c>
      <c r="S336" s="29" t="b">
        <v>0</v>
      </c>
      <c r="T336" s="60"/>
      <c r="U336" s="60"/>
      <c r="V336" s="216"/>
      <c r="W336" s="284"/>
    </row>
    <row r="337" spans="1:27" ht="21" x14ac:dyDescent="0.4">
      <c r="B337" s="272"/>
      <c r="C337" s="51"/>
      <c r="D337" s="51"/>
      <c r="E337" s="242"/>
      <c r="F337" s="41"/>
      <c r="G337" s="275"/>
      <c r="H337" s="108"/>
      <c r="I337" s="124"/>
      <c r="J337" s="244"/>
      <c r="K337" s="47"/>
      <c r="L337" s="47"/>
      <c r="M337" s="47"/>
      <c r="N337" s="64"/>
      <c r="O337" s="7"/>
      <c r="P337" s="79"/>
      <c r="Q337" s="13" t="s">
        <v>382</v>
      </c>
      <c r="R337" s="31">
        <v>1</v>
      </c>
      <c r="S337" s="29" t="b">
        <v>0</v>
      </c>
      <c r="T337" s="60"/>
      <c r="U337" s="60"/>
      <c r="V337" s="216"/>
      <c r="W337" s="284"/>
    </row>
    <row r="338" spans="1:27" ht="21" x14ac:dyDescent="0.4">
      <c r="B338" s="272"/>
      <c r="C338" s="51"/>
      <c r="D338" s="51"/>
      <c r="E338" s="242"/>
      <c r="F338" s="41"/>
      <c r="G338" s="276"/>
      <c r="H338" s="109"/>
      <c r="I338" s="125"/>
      <c r="J338" s="245"/>
      <c r="K338" s="46"/>
      <c r="L338" s="46"/>
      <c r="M338" s="46"/>
      <c r="N338" s="65"/>
      <c r="O338" s="7"/>
      <c r="P338" s="79"/>
      <c r="Q338" s="13" t="s">
        <v>383</v>
      </c>
      <c r="R338" s="31">
        <v>1</v>
      </c>
      <c r="S338" s="29" t="b">
        <v>0</v>
      </c>
      <c r="T338" s="61"/>
      <c r="U338" s="61"/>
      <c r="V338" s="216"/>
      <c r="W338" s="285"/>
    </row>
    <row r="339" spans="1:27" ht="21" x14ac:dyDescent="0.4">
      <c r="B339" s="272"/>
      <c r="C339" s="51"/>
      <c r="D339" s="51"/>
      <c r="E339" s="242"/>
      <c r="F339" s="41"/>
      <c r="G339" s="282" t="s">
        <v>41</v>
      </c>
      <c r="H339" s="107"/>
      <c r="I339" s="123"/>
      <c r="J339" s="248" t="s">
        <v>42</v>
      </c>
      <c r="K339" s="41">
        <f>F322*0.333333333333333</f>
        <v>5.2083333333333343E-2</v>
      </c>
      <c r="L339" s="41"/>
      <c r="M339" s="41"/>
      <c r="N339" s="63"/>
      <c r="O339" s="7"/>
      <c r="P339" s="79"/>
      <c r="Q339" s="13" t="s">
        <v>384</v>
      </c>
      <c r="R339" s="31">
        <v>1</v>
      </c>
      <c r="S339" s="29" t="b">
        <v>0</v>
      </c>
      <c r="T339" s="55" cm="1">
        <f t="array" ref="T339">SUMPRODUCT(R339:R348,--S339:S348)</f>
        <v>0</v>
      </c>
      <c r="U339" s="56" cm="1">
        <f t="array" ref="U339">IF(
10=0,
  "",
  _xlfn.IFS(
    T339/10&gt;=0.8, 5,
    T339/10&gt;=0.6, 4,
    T339/10&gt;=0.4, 3,
    T339/10&gt;=0.2, 2,
    T339/10&gt;=0.1, 1,
    TRUE, 0
  )
)</f>
        <v>0</v>
      </c>
      <c r="V339" s="212">
        <f>U339/5*K339*100</f>
        <v>0</v>
      </c>
      <c r="W339" s="283" t="s">
        <v>245</v>
      </c>
    </row>
    <row r="340" spans="1:27" ht="21" x14ac:dyDescent="0.45">
      <c r="B340" s="272"/>
      <c r="C340" s="51"/>
      <c r="D340" s="51"/>
      <c r="E340" s="242"/>
      <c r="F340" s="41"/>
      <c r="G340" s="275"/>
      <c r="H340" s="54"/>
      <c r="I340" s="126"/>
      <c r="J340" s="244"/>
      <c r="K340" s="47"/>
      <c r="L340" s="47"/>
      <c r="M340" s="47"/>
      <c r="N340" s="64"/>
      <c r="O340" s="7"/>
      <c r="P340" s="79"/>
      <c r="Q340" s="13" t="s">
        <v>385</v>
      </c>
      <c r="R340" s="31">
        <v>1</v>
      </c>
      <c r="S340" s="29" t="b">
        <v>0</v>
      </c>
      <c r="T340" s="60"/>
      <c r="U340" s="60"/>
      <c r="V340" s="216"/>
      <c r="W340" s="284"/>
    </row>
    <row r="341" spans="1:27" ht="21" x14ac:dyDescent="0.45">
      <c r="B341" s="272"/>
      <c r="C341" s="51"/>
      <c r="D341" s="51"/>
      <c r="E341" s="242"/>
      <c r="F341" s="41"/>
      <c r="G341" s="275"/>
      <c r="H341" s="54"/>
      <c r="I341" s="126"/>
      <c r="J341" s="244"/>
      <c r="K341" s="47"/>
      <c r="L341" s="47"/>
      <c r="M341" s="47"/>
      <c r="N341" s="64"/>
      <c r="O341" s="7"/>
      <c r="P341" s="79"/>
      <c r="Q341" s="13" t="s">
        <v>386</v>
      </c>
      <c r="R341" s="31">
        <v>1</v>
      </c>
      <c r="S341" s="29" t="b">
        <v>0</v>
      </c>
      <c r="T341" s="60"/>
      <c r="U341" s="60"/>
      <c r="V341" s="216"/>
      <c r="W341" s="284"/>
    </row>
    <row r="342" spans="1:27" ht="21" x14ac:dyDescent="0.45">
      <c r="B342" s="272"/>
      <c r="C342" s="51"/>
      <c r="D342" s="51"/>
      <c r="E342" s="242"/>
      <c r="F342" s="41"/>
      <c r="G342" s="275"/>
      <c r="H342" s="54"/>
      <c r="I342" s="126"/>
      <c r="J342" s="244"/>
      <c r="K342" s="47"/>
      <c r="L342" s="47"/>
      <c r="M342" s="47"/>
      <c r="N342" s="64"/>
      <c r="O342" s="7"/>
      <c r="P342" s="79"/>
      <c r="Q342" s="13" t="s">
        <v>387</v>
      </c>
      <c r="R342" s="31">
        <v>1</v>
      </c>
      <c r="S342" s="29" t="b">
        <v>0</v>
      </c>
      <c r="T342" s="60"/>
      <c r="U342" s="60"/>
      <c r="V342" s="216"/>
      <c r="W342" s="284"/>
    </row>
    <row r="343" spans="1:27" ht="21" x14ac:dyDescent="0.45">
      <c r="B343" s="272"/>
      <c r="C343" s="51"/>
      <c r="D343" s="51"/>
      <c r="E343" s="242"/>
      <c r="F343" s="41"/>
      <c r="G343" s="275"/>
      <c r="H343" s="54"/>
      <c r="I343" s="126"/>
      <c r="J343" s="244"/>
      <c r="K343" s="47"/>
      <c r="L343" s="47"/>
      <c r="M343" s="47"/>
      <c r="N343" s="64"/>
      <c r="O343" s="7"/>
      <c r="P343" s="79"/>
      <c r="Q343" s="13" t="s">
        <v>388</v>
      </c>
      <c r="R343" s="31">
        <v>1</v>
      </c>
      <c r="S343" s="29" t="b">
        <v>0</v>
      </c>
      <c r="T343" s="60"/>
      <c r="U343" s="60"/>
      <c r="V343" s="216"/>
      <c r="W343" s="284"/>
    </row>
    <row r="344" spans="1:27" ht="21" x14ac:dyDescent="0.45">
      <c r="B344" s="272"/>
      <c r="C344" s="51"/>
      <c r="D344" s="51"/>
      <c r="E344" s="242"/>
      <c r="F344" s="41"/>
      <c r="G344" s="275"/>
      <c r="H344" s="54"/>
      <c r="I344" s="126"/>
      <c r="J344" s="244"/>
      <c r="K344" s="47"/>
      <c r="L344" s="47"/>
      <c r="M344" s="47"/>
      <c r="N344" s="64"/>
      <c r="O344" s="7"/>
      <c r="P344" s="79"/>
      <c r="Q344" s="13" t="s">
        <v>389</v>
      </c>
      <c r="R344" s="31">
        <v>1</v>
      </c>
      <c r="S344" s="29" t="b">
        <v>0</v>
      </c>
      <c r="T344" s="60"/>
      <c r="U344" s="60"/>
      <c r="V344" s="216"/>
      <c r="W344" s="284"/>
    </row>
    <row r="345" spans="1:27" ht="21" x14ac:dyDescent="0.45">
      <c r="B345" s="272"/>
      <c r="C345" s="51"/>
      <c r="D345" s="51"/>
      <c r="E345" s="242"/>
      <c r="F345" s="41"/>
      <c r="G345" s="275"/>
      <c r="H345" s="54"/>
      <c r="I345" s="126"/>
      <c r="J345" s="244"/>
      <c r="K345" s="47"/>
      <c r="L345" s="47"/>
      <c r="M345" s="47"/>
      <c r="N345" s="64"/>
      <c r="O345" s="7"/>
      <c r="P345" s="79"/>
      <c r="Q345" s="13" t="s">
        <v>390</v>
      </c>
      <c r="R345" s="31">
        <v>1</v>
      </c>
      <c r="S345" s="29" t="b">
        <v>0</v>
      </c>
      <c r="T345" s="60"/>
      <c r="U345" s="60"/>
      <c r="V345" s="216"/>
      <c r="W345" s="284"/>
    </row>
    <row r="346" spans="1:27" ht="21" x14ac:dyDescent="0.45">
      <c r="B346" s="272"/>
      <c r="C346" s="51"/>
      <c r="D346" s="51"/>
      <c r="E346" s="242"/>
      <c r="F346" s="41"/>
      <c r="G346" s="275"/>
      <c r="H346" s="54"/>
      <c r="I346" s="126"/>
      <c r="J346" s="244"/>
      <c r="K346" s="47"/>
      <c r="L346" s="47"/>
      <c r="M346" s="47"/>
      <c r="N346" s="64"/>
      <c r="O346" s="7"/>
      <c r="P346" s="79"/>
      <c r="Q346" s="13" t="s">
        <v>391</v>
      </c>
      <c r="R346" s="31">
        <v>1</v>
      </c>
      <c r="S346" s="29" t="b">
        <v>0</v>
      </c>
      <c r="T346" s="60"/>
      <c r="U346" s="60"/>
      <c r="V346" s="216"/>
      <c r="W346" s="284"/>
    </row>
    <row r="347" spans="1:27" ht="21" x14ac:dyDescent="0.45">
      <c r="B347" s="272"/>
      <c r="C347" s="51"/>
      <c r="D347" s="51"/>
      <c r="E347" s="242"/>
      <c r="F347" s="41"/>
      <c r="G347" s="275"/>
      <c r="H347" s="54"/>
      <c r="I347" s="126"/>
      <c r="J347" s="244"/>
      <c r="K347" s="47"/>
      <c r="L347" s="47"/>
      <c r="M347" s="47"/>
      <c r="N347" s="64"/>
      <c r="O347" s="7"/>
      <c r="P347" s="79"/>
      <c r="Q347" s="13" t="s">
        <v>392</v>
      </c>
      <c r="R347" s="31">
        <v>1</v>
      </c>
      <c r="S347" s="29" t="b">
        <v>0</v>
      </c>
      <c r="T347" s="60"/>
      <c r="U347" s="60"/>
      <c r="V347" s="216"/>
      <c r="W347" s="284"/>
    </row>
    <row r="348" spans="1:27" ht="21.6" thickBot="1" x14ac:dyDescent="0.5">
      <c r="B348" s="273"/>
      <c r="C348" s="188"/>
      <c r="D348" s="188"/>
      <c r="E348" s="251"/>
      <c r="F348" s="44"/>
      <c r="G348" s="297"/>
      <c r="H348" s="189"/>
      <c r="I348" s="190"/>
      <c r="J348" s="252"/>
      <c r="K348" s="48"/>
      <c r="L348" s="48"/>
      <c r="M348" s="48"/>
      <c r="N348" s="67"/>
      <c r="O348" s="191"/>
      <c r="P348" s="192"/>
      <c r="Q348" s="193" t="s">
        <v>393</v>
      </c>
      <c r="R348" s="38">
        <v>1</v>
      </c>
      <c r="S348" s="182" t="b">
        <v>0</v>
      </c>
      <c r="T348" s="183"/>
      <c r="U348" s="183"/>
      <c r="V348" s="221"/>
      <c r="W348" s="298"/>
    </row>
    <row r="349" spans="1:27" x14ac:dyDescent="0.4">
      <c r="F349" s="110"/>
      <c r="J349" s="11"/>
      <c r="K349" s="11"/>
      <c r="L349" s="11"/>
      <c r="M349" s="11"/>
      <c r="N349" s="69"/>
      <c r="O349" s="11"/>
      <c r="P349" s="11"/>
      <c r="Q349" s="25"/>
    </row>
    <row r="350" spans="1:27" x14ac:dyDescent="0.4">
      <c r="Q350" s="26"/>
    </row>
    <row r="351" spans="1:27" x14ac:dyDescent="0.4">
      <c r="Q351" s="26"/>
    </row>
    <row r="352" spans="1:27" s="34" customFormat="1" x14ac:dyDescent="0.4">
      <c r="A352" s="1"/>
      <c r="B352" s="1"/>
      <c r="C352" s="1"/>
      <c r="D352" s="1"/>
      <c r="E352" s="12"/>
      <c r="F352" s="12"/>
      <c r="G352" s="12"/>
      <c r="H352" s="12"/>
      <c r="I352" s="14"/>
      <c r="J352" s="12"/>
      <c r="K352" s="12"/>
      <c r="L352" s="12"/>
      <c r="M352" s="12"/>
      <c r="N352" s="70"/>
      <c r="O352" s="12"/>
      <c r="P352" s="12"/>
      <c r="Q352" s="27"/>
      <c r="S352" s="12"/>
      <c r="T352" s="32"/>
      <c r="U352" s="32"/>
      <c r="V352" s="1"/>
      <c r="W352" s="1"/>
      <c r="X352" s="2"/>
      <c r="Y352" s="2"/>
      <c r="Z352" s="2"/>
      <c r="AA352" s="2"/>
    </row>
    <row r="353" spans="1:27" s="34" customFormat="1" x14ac:dyDescent="0.4">
      <c r="A353" s="1"/>
      <c r="B353" s="1"/>
      <c r="C353" s="1"/>
      <c r="D353" s="1"/>
      <c r="E353" s="12"/>
      <c r="F353" s="12"/>
      <c r="G353" s="12"/>
      <c r="H353" s="12"/>
      <c r="I353" s="14"/>
      <c r="J353" s="12"/>
      <c r="K353" s="12"/>
      <c r="L353" s="12"/>
      <c r="M353" s="12"/>
      <c r="N353" s="70"/>
      <c r="O353" s="12"/>
      <c r="P353" s="12"/>
      <c r="Q353" s="28"/>
      <c r="S353" s="12"/>
      <c r="T353" s="32"/>
      <c r="U353" s="32"/>
      <c r="V353" s="1"/>
      <c r="W353" s="1"/>
      <c r="X353" s="2"/>
      <c r="Y353" s="2"/>
      <c r="Z353" s="2"/>
      <c r="AA353" s="2"/>
    </row>
  </sheetData>
  <mergeCells count="162">
    <mergeCell ref="O292:O295"/>
    <mergeCell ref="W292:W295"/>
    <mergeCell ref="W280:W283"/>
    <mergeCell ref="K281:K321"/>
    <mergeCell ref="O284:O287"/>
    <mergeCell ref="N288:N295"/>
    <mergeCell ref="W331:W338"/>
    <mergeCell ref="G339:G348"/>
    <mergeCell ref="J339:J348"/>
    <mergeCell ref="W339:W348"/>
    <mergeCell ref="P194:P218"/>
    <mergeCell ref="G322:G330"/>
    <mergeCell ref="J322:J330"/>
    <mergeCell ref="O322:O324"/>
    <mergeCell ref="O325:O327"/>
    <mergeCell ref="W325:W327"/>
    <mergeCell ref="O328:O330"/>
    <mergeCell ref="W328:W330"/>
    <mergeCell ref="G331:G338"/>
    <mergeCell ref="J331:J338"/>
    <mergeCell ref="N304:N311"/>
    <mergeCell ref="O304:O307"/>
    <mergeCell ref="O308:O311"/>
    <mergeCell ref="N312:N321"/>
    <mergeCell ref="O312:O316"/>
    <mergeCell ref="O317:O321"/>
    <mergeCell ref="W260:W264"/>
    <mergeCell ref="N265:N269"/>
    <mergeCell ref="O265:O269"/>
    <mergeCell ref="W265:W269"/>
    <mergeCell ref="N270:N274"/>
    <mergeCell ref="O270:O274"/>
    <mergeCell ref="W270:W274"/>
    <mergeCell ref="W245:W249"/>
    <mergeCell ref="G250:G321"/>
    <mergeCell ref="J250:J279"/>
    <mergeCell ref="O250:O254"/>
    <mergeCell ref="N255:N259"/>
    <mergeCell ref="O255:O259"/>
    <mergeCell ref="W255:W259"/>
    <mergeCell ref="P256:P279"/>
    <mergeCell ref="N260:N264"/>
    <mergeCell ref="O260:O264"/>
    <mergeCell ref="N296:N303"/>
    <mergeCell ref="O296:O299"/>
    <mergeCell ref="O300:O303"/>
    <mergeCell ref="N275:N279"/>
    <mergeCell ref="O275:O279"/>
    <mergeCell ref="W275:W279"/>
    <mergeCell ref="J280:J321"/>
    <mergeCell ref="W219:W224"/>
    <mergeCell ref="O225:O230"/>
    <mergeCell ref="W225:W230"/>
    <mergeCell ref="O231:O236"/>
    <mergeCell ref="W231:W236"/>
    <mergeCell ref="J237:J244"/>
    <mergeCell ref="O237:O240"/>
    <mergeCell ref="W237:W240"/>
    <mergeCell ref="O241:O244"/>
    <mergeCell ref="W241:W244"/>
    <mergeCell ref="W194:W198"/>
    <mergeCell ref="K195:K218"/>
    <mergeCell ref="N199:N203"/>
    <mergeCell ref="W199:W203"/>
    <mergeCell ref="N204:N208"/>
    <mergeCell ref="W204:W208"/>
    <mergeCell ref="N209:N213"/>
    <mergeCell ref="W209:W213"/>
    <mergeCell ref="N214:N218"/>
    <mergeCell ref="W214:W218"/>
    <mergeCell ref="W156:W161"/>
    <mergeCell ref="G162:G184"/>
    <mergeCell ref="J162:J177"/>
    <mergeCell ref="O162:O167"/>
    <mergeCell ref="W162:W177"/>
    <mergeCell ref="O168:O170"/>
    <mergeCell ref="O171:O177"/>
    <mergeCell ref="J178:J184"/>
    <mergeCell ref="O178:O181"/>
    <mergeCell ref="O182:O184"/>
    <mergeCell ref="W127:W130"/>
    <mergeCell ref="O131:O136"/>
    <mergeCell ref="W131:W136"/>
    <mergeCell ref="J137:J155"/>
    <mergeCell ref="O137:O141"/>
    <mergeCell ref="P138:P145"/>
    <mergeCell ref="O142:O145"/>
    <mergeCell ref="O146:O155"/>
    <mergeCell ref="W106:W111"/>
    <mergeCell ref="J112:J126"/>
    <mergeCell ref="O112:O120"/>
    <mergeCell ref="W112:W120"/>
    <mergeCell ref="O121:O126"/>
    <mergeCell ref="W121:W126"/>
    <mergeCell ref="B92:B348"/>
    <mergeCell ref="E92:E184"/>
    <mergeCell ref="G92:G126"/>
    <mergeCell ref="J92:J105"/>
    <mergeCell ref="O92:O101"/>
    <mergeCell ref="O102:O105"/>
    <mergeCell ref="J106:J111"/>
    <mergeCell ref="G127:G161"/>
    <mergeCell ref="J127:J136"/>
    <mergeCell ref="O127:O130"/>
    <mergeCell ref="J156:J161"/>
    <mergeCell ref="E185:E321"/>
    <mergeCell ref="G185:G249"/>
    <mergeCell ref="J185:J189"/>
    <mergeCell ref="J190:J193"/>
    <mergeCell ref="J194:J218"/>
    <mergeCell ref="N194:N198"/>
    <mergeCell ref="J219:J236"/>
    <mergeCell ref="O219:O224"/>
    <mergeCell ref="J245:J249"/>
    <mergeCell ref="N280:N287"/>
    <mergeCell ref="O280:O283"/>
    <mergeCell ref="E322:E348"/>
    <mergeCell ref="O288:O291"/>
    <mergeCell ref="O74:O77"/>
    <mergeCell ref="O78:O80"/>
    <mergeCell ref="J81:J87"/>
    <mergeCell ref="O81:O84"/>
    <mergeCell ref="O85:O87"/>
    <mergeCell ref="J88:J91"/>
    <mergeCell ref="J44:J53"/>
    <mergeCell ref="O44:O48"/>
    <mergeCell ref="O49:O53"/>
    <mergeCell ref="J54:J59"/>
    <mergeCell ref="J60:J65"/>
    <mergeCell ref="J66:J73"/>
    <mergeCell ref="B22:B91"/>
    <mergeCell ref="E22:E59"/>
    <mergeCell ref="G22:G43"/>
    <mergeCell ref="I22:I33"/>
    <mergeCell ref="J22:J27"/>
    <mergeCell ref="J28:J33"/>
    <mergeCell ref="J34:J38"/>
    <mergeCell ref="J39:J43"/>
    <mergeCell ref="G44:G59"/>
    <mergeCell ref="I44:I59"/>
    <mergeCell ref="E74:E91"/>
    <mergeCell ref="J74:J80"/>
    <mergeCell ref="E60:E73"/>
    <mergeCell ref="B8:B21"/>
    <mergeCell ref="E8:E11"/>
    <mergeCell ref="J8:J9"/>
    <mergeCell ref="T8:T9"/>
    <mergeCell ref="J10:J11"/>
    <mergeCell ref="T10:T11"/>
    <mergeCell ref="E12:E13"/>
    <mergeCell ref="J12:J13"/>
    <mergeCell ref="T12:T13"/>
    <mergeCell ref="E14:E17"/>
    <mergeCell ref="J14:J15"/>
    <mergeCell ref="T14:T15"/>
    <mergeCell ref="J16:J17"/>
    <mergeCell ref="T16:T17"/>
    <mergeCell ref="E18:E21"/>
    <mergeCell ref="J18:J19"/>
    <mergeCell ref="T18:T19"/>
    <mergeCell ref="J20:J21"/>
    <mergeCell ref="T20:T2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23D-186C-4860-8353-121DD475CF83}">
  <dimension ref="A1"/>
  <sheetViews>
    <sheetView workbookViewId="0">
      <selection activeCell="O11" sqref="O11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평가표(양식)_v4</vt:lpstr>
      <vt:lpstr>평가등급체계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홍세림</dc:creator>
  <cp:lastModifiedBy>홍세림</cp:lastModifiedBy>
  <dcterms:created xsi:type="dcterms:W3CDTF">2025-11-10T06:27:28Z</dcterms:created>
  <dcterms:modified xsi:type="dcterms:W3CDTF">2026-01-22T02:50:03Z</dcterms:modified>
</cp:coreProperties>
</file>